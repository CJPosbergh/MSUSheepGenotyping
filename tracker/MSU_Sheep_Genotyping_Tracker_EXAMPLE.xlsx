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ettings" sheetId="2" state="visible" r:id="rId2"/>
    <sheet xmlns:r="http://schemas.openxmlformats.org/officeDocument/2006/relationships" name="Producers" sheetId="3" state="visible" r:id="rId3"/>
    <sheet xmlns:r="http://schemas.openxmlformats.org/officeDocument/2006/relationships" name="Submissions" sheetId="4" state="visible" r:id="rId4"/>
    <sheet xmlns:r="http://schemas.openxmlformats.org/officeDocument/2006/relationships" name="Animals" sheetId="5" state="visible" r:id="rId5"/>
    <sheet xmlns:r="http://schemas.openxmlformats.org/officeDocument/2006/relationships" name="Photos" sheetId="6" state="visible" r:id="rId6"/>
    <sheet xmlns:r="http://schemas.openxmlformats.org/officeDocument/2006/relationships" name="Batches" sheetId="7" state="visible" r:id="rId7"/>
    <sheet xmlns:r="http://schemas.openxmlformats.org/officeDocument/2006/relationships" name="Replacements" sheetId="8" state="visible" r:id="rId8"/>
    <sheet xmlns:r="http://schemas.openxmlformats.org/officeDocument/2006/relationships" name="Conditions" sheetId="9" state="visible" r:id="rId9"/>
    <sheet xmlns:r="http://schemas.openxmlformats.org/officeDocument/2006/relationships" name="Result_Key" sheetId="10" state="visible" r:id="rId10"/>
    <sheet xmlns:r="http://schemas.openxmlformats.org/officeDocument/2006/relationships" name="Results" sheetId="11" state="visible" r:id="rId11"/>
    <sheet xmlns:r="http://schemas.openxmlformats.org/officeDocument/2006/relationships" name="Parentage" sheetId="12" state="visible" r:id="rId12"/>
    <sheet xmlns:r="http://schemas.openxmlformats.org/officeDocument/2006/relationships" name="Candidate_Parents" sheetId="13" state="visible" r:id="rId13"/>
    <sheet xmlns:r="http://schemas.openxmlformats.org/officeDocument/2006/relationships" name="Services" sheetId="14" state="visible" r:id="rId14"/>
    <sheet xmlns:r="http://schemas.openxmlformats.org/officeDocument/2006/relationships" name="Cost_Share" sheetId="15" state="visible" r:id="rId15"/>
    <sheet xmlns:r="http://schemas.openxmlformats.org/officeDocument/2006/relationships" name="Invoices" sheetId="16" state="visible" r:id="rId16"/>
    <sheet xmlns:r="http://schemas.openxmlformats.org/officeDocument/2006/relationships" name="Invoice_Lines" sheetId="17" state="visible" r:id="rId17"/>
    <sheet xmlns:r="http://schemas.openxmlformats.org/officeDocument/2006/relationships" name="Partner_Billing" sheetId="18" state="visible" r:id="rId18"/>
    <sheet xmlns:r="http://schemas.openxmlformats.org/officeDocument/2006/relationships" name="Email_Templates" sheetId="19" state="visible" r:id="rId19"/>
    <sheet xmlns:r="http://schemas.openxmlformats.org/officeDocument/2006/relationships" name="Email_Log" sheetId="20" state="visible" r:id="rId20"/>
  </sheets>
  <definedNames/>
  <calcPr calcId="124519" fullCalcOnLoad="1"/>
</workbook>
</file>

<file path=xl/styles.xml><?xml version="1.0" encoding="utf-8"?>
<styleSheet xmlns="http://schemas.openxmlformats.org/spreadsheetml/2006/main">
  <numFmts count="2">
    <numFmt numFmtId="164" formatCode="yyyy-mm-dd"/>
    <numFmt numFmtId="165" formatCode="$#,##0.00"/>
  </numFmts>
  <fonts count="9">
    <font>
      <name val="Calibri"/>
      <family val="2"/>
      <color theme="1"/>
      <sz val="11"/>
      <scheme val="minor"/>
    </font>
    <font>
      <name val="Arial"/>
      <b val="1"/>
      <color rgb="0016233A"/>
      <sz val="10"/>
    </font>
    <font>
      <name val="Arial"/>
      <color rgb="0016233A"/>
      <sz val="10"/>
    </font>
    <font>
      <name val="Arial"/>
      <b val="1"/>
      <color rgb="00FFFFFF"/>
      <sz val="10"/>
    </font>
    <font>
      <name val="Arial"/>
      <b val="1"/>
      <color rgb="0016233A"/>
      <sz val="18"/>
    </font>
    <font>
      <name val="Arial"/>
      <color rgb="005A6474"/>
      <sz val="10"/>
    </font>
    <font>
      <name val="Arial"/>
      <color rgb="003E4A5C"/>
      <sz val="10"/>
    </font>
    <font>
      <name val="Arial"/>
      <b val="1"/>
      <color rgb="0016233A"/>
      <sz val="13"/>
    </font>
    <font>
      <name val="Arial"/>
      <b val="1"/>
      <color rgb="004A5566"/>
      <sz val="10"/>
    </font>
  </fonts>
  <fills count="8">
    <fill>
      <patternFill/>
    </fill>
    <fill>
      <patternFill patternType="gray125"/>
    </fill>
    <fill>
      <patternFill patternType="solid">
        <fgColor rgb="00F7BD00"/>
      </patternFill>
    </fill>
    <fill>
      <patternFill patternType="solid">
        <fgColor rgb="001F3A5F"/>
      </patternFill>
    </fill>
    <fill>
      <patternFill patternType="solid">
        <fgColor rgb="008A8F99"/>
      </patternFill>
    </fill>
    <fill>
      <patternFill patternType="solid">
        <fgColor rgb="002E6B4F"/>
      </patternFill>
    </fill>
    <fill>
      <patternFill patternType="solid">
        <fgColor rgb="00FFF2B3"/>
      </patternFill>
    </fill>
    <fill>
      <patternFill patternType="solid">
        <fgColor rgb="00F1EEE6"/>
      </patternFill>
    </fill>
  </fills>
  <borders count="3">
    <border>
      <left/>
      <right/>
      <top/>
      <bottom/>
      <diagonal/>
    </border>
    <border>
      <bottom style="thin">
        <color rgb="00E2DED3"/>
      </bottom>
    </border>
    <border>
      <bottom style="medium">
        <color rgb="0016233A"/>
      </bottom>
    </border>
  </borders>
  <cellStyleXfs count="1">
    <xf numFmtId="0" fontId="0" fillId="0" borderId="0"/>
  </cellStyleXfs>
  <cellXfs count="27">
    <xf numFmtId="0" fontId="0" fillId="0" borderId="0" pivotButton="0" quotePrefix="0" xfId="0"/>
    <xf numFmtId="0" fontId="4" fillId="0" borderId="0" applyAlignment="1" pivotButton="0" quotePrefix="0" xfId="0">
      <alignment vertical="top"/>
    </xf>
    <xf numFmtId="0" fontId="5" fillId="0" borderId="0" applyAlignment="1" pivotButton="0" quotePrefix="0" xfId="0">
      <alignment vertical="top"/>
    </xf>
    <xf numFmtId="0" fontId="6" fillId="0" borderId="0" applyAlignment="1" pivotButton="0" quotePrefix="0" xfId="0">
      <alignment vertical="top" wrapText="1"/>
    </xf>
    <xf numFmtId="0" fontId="7" fillId="0" borderId="2" applyAlignment="1" pivotButton="0" quotePrefix="0" xfId="0">
      <alignment vertical="top"/>
    </xf>
    <xf numFmtId="0" fontId="0" fillId="0" borderId="2" pivotButton="0" quotePrefix="0" xfId="0"/>
    <xf numFmtId="0" fontId="3" fillId="3" borderId="0" pivotButton="0" quotePrefix="0" xfId="0"/>
    <xf numFmtId="0" fontId="2" fillId="0" borderId="0" applyAlignment="1" pivotButton="0" quotePrefix="0" xfId="0">
      <alignment vertical="top"/>
    </xf>
    <xf numFmtId="0" fontId="1" fillId="2" borderId="0" pivotButton="0" quotePrefix="0" xfId="0"/>
    <xf numFmtId="0" fontId="3" fillId="5" borderId="0" pivotButton="0" quotePrefix="0" xfId="0"/>
    <xf numFmtId="0" fontId="3" fillId="4" borderId="0" pivotButton="0" quotePrefix="0" xfId="0"/>
    <xf numFmtId="0" fontId="1" fillId="6" borderId="0" pivotButton="0" quotePrefix="0" xfId="0"/>
    <xf numFmtId="0" fontId="2" fillId="0" borderId="0" pivotButton="0" quotePrefix="0" xfId="0"/>
    <xf numFmtId="0" fontId="8" fillId="7" borderId="1" applyAlignment="1" pivotButton="0" quotePrefix="0" xfId="0">
      <alignment vertical="top" wrapText="1"/>
    </xf>
    <xf numFmtId="0" fontId="1" fillId="0" borderId="1" applyAlignment="1" pivotButton="0" quotePrefix="0" xfId="0">
      <alignment vertical="top" wrapText="1"/>
    </xf>
    <xf numFmtId="0" fontId="2" fillId="0" borderId="1" applyAlignment="1" pivotButton="0" quotePrefix="0" xfId="0">
      <alignment vertical="top" wrapText="1"/>
    </xf>
    <xf numFmtId="0" fontId="1" fillId="2" borderId="0" applyAlignment="1" pivotButton="0" quotePrefix="0" xfId="0">
      <alignment vertical="center"/>
    </xf>
    <xf numFmtId="0" fontId="2" fillId="0" borderId="1" applyAlignment="1" pivotButton="0" quotePrefix="0" xfId="0">
      <alignment vertical="top"/>
    </xf>
    <xf numFmtId="0" fontId="3" fillId="3" borderId="0" applyAlignment="1" pivotButton="0" quotePrefix="0" xfId="0">
      <alignment vertical="center"/>
    </xf>
    <xf numFmtId="0" fontId="3" fillId="4" borderId="0" applyAlignment="1" pivotButton="0" quotePrefix="0" xfId="0">
      <alignment vertical="center"/>
    </xf>
    <xf numFmtId="49" fontId="2" fillId="0" borderId="1" applyAlignment="1" pivotButton="0" quotePrefix="0" xfId="0">
      <alignment vertical="top"/>
    </xf>
    <xf numFmtId="164" fontId="2" fillId="0" borderId="1" applyAlignment="1" pivotButton="0" quotePrefix="0" xfId="0">
      <alignment vertical="top"/>
    </xf>
    <xf numFmtId="49" fontId="0" fillId="0" borderId="0" pivotButton="0" quotePrefix="0" xfId="0"/>
    <xf numFmtId="164" fontId="0" fillId="0" borderId="0" pivotButton="0" quotePrefix="0" xfId="0"/>
    <xf numFmtId="0" fontId="3" fillId="5" borderId="0" applyAlignment="1" pivotButton="0" quotePrefix="0" xfId="0">
      <alignment vertical="center"/>
    </xf>
    <xf numFmtId="165" fontId="2" fillId="0" borderId="1" applyAlignment="1" pivotButton="0" quotePrefix="0" xfId="0">
      <alignment vertical="top"/>
    </xf>
    <xf numFmtId="165" fontId="0" fillId="0" borderId="0" pivotButton="0" quotePrefix="0" xfId="0"/>
  </cellXfs>
  <cellStyles count="1">
    <cellStyle name="Normal" xfId="0" builtinId="0" hidden="0"/>
  </cellStyles>
  <dxfs count="3">
    <dxf>
      <font>
        <name val="Arial"/>
        <b val="1"/>
        <color rgb="00123C69"/>
      </font>
      <fill>
        <patternFill patternType="solid">
          <fgColor rgb="00DCE8F5"/>
          <bgColor rgb="00DCE8F5"/>
        </patternFill>
      </fill>
    </dxf>
    <dxf>
      <font>
        <name val="Arial"/>
        <b val="1"/>
        <color rgb="007A2512"/>
      </font>
      <fill>
        <patternFill patternType="solid">
          <fgColor rgb="00F8D7CC"/>
          <bgColor rgb="00F8D7CC"/>
        </patternFill>
      </fill>
    </dxf>
    <dxf>
      <font>
        <name val="Arial"/>
        <b val="1"/>
        <color rgb="006B4A07"/>
      </font>
      <fill>
        <patternFill patternType="solid">
          <fgColor rgb="00FBEBC8"/>
          <bgColor rgb="00FBEBC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D96"/>
  <sheetViews>
    <sheetView showGridLines="0" zoomScale="110" workbookViewId="0">
      <selection activeCell="A1" sqref="A1"/>
    </sheetView>
  </sheetViews>
  <sheetFormatPr baseColWidth="8" defaultRowHeight="15"/>
  <cols>
    <col width="3" customWidth="1" min="1" max="1"/>
    <col width="22" customWidth="1" min="2" max="2"/>
    <col width="30" customWidth="1" min="3" max="3"/>
    <col width="70" customWidth="1" min="4" max="4"/>
  </cols>
  <sheetData>
    <row r="2" ht="28" customHeight="1">
      <c r="B2" s="1" t="inlineStr">
        <is>
          <t>MSU Sheep Genotyping · tracker</t>
        </is>
      </c>
    </row>
    <row r="3">
      <c r="B3" s="2" t="inlineStr">
        <is>
          <t>The back end for the producer submission and results pages. One row per record on every tab.</t>
        </is>
      </c>
    </row>
    <row r="4" ht="47" customHeight="1">
      <c r="B4" s="3" t="inlineStr">
        <is>
          <t>The rows on each tab are example data from the design mock-ups (Prairie Flock, Smith Ranch, Jones Sheep Co). Delete rows 2 and below on every tab except Settings, Conditions and Result_Key before going live. Keep every header row exactly as it is: the web pages and the Apps Script find columns by these names.</t>
        </is>
      </c>
    </row>
    <row r="6" ht="22" customHeight="1">
      <c r="B6" s="4" t="inlineStr">
        <is>
          <t>Opening this in Google Sheets</t>
        </is>
      </c>
      <c r="C6" s="5" t="n"/>
      <c r="D6" s="5" t="n"/>
    </row>
    <row r="7" ht="32" customHeight="1">
      <c r="B7" s="3" t="inlineStr">
        <is>
          <t>Upload the file to Google Drive, right-click it and choose Open with &gt; Google Sheets, then File &gt; Save as Google Sheets. Formulas, dropdowns and colours carry over. The Apps Script is then attached from Extensions &gt; Apps Script in that Google Sheet.</t>
        </is>
      </c>
    </row>
    <row r="9" ht="22" customHeight="1">
      <c r="B9" s="4" t="inlineStr">
        <is>
          <t>Header colours: who fills each column</t>
        </is>
      </c>
      <c r="C9" s="5" t="n"/>
      <c r="D9" s="5" t="n"/>
    </row>
    <row r="10" ht="18" customHeight="1">
      <c r="B10" s="6" t="inlineStr">
        <is>
          <t>Blue</t>
        </is>
      </c>
      <c r="C10" s="7" t="inlineStr">
        <is>
          <t>Filled automatically from the producer's submission page by the Apps Script.</t>
        </is>
      </c>
    </row>
    <row r="11" ht="18" customHeight="1">
      <c r="B11" s="8" t="inlineStr">
        <is>
          <t>Gold</t>
        </is>
      </c>
      <c r="C11" s="7" t="inlineStr">
        <is>
          <t>Entered by you or lab staff (receiving, batches, prices, invoice status).</t>
        </is>
      </c>
    </row>
    <row r="12" ht="18" customHeight="1">
      <c r="B12" s="9" t="inlineStr">
        <is>
          <t>Green</t>
        </is>
      </c>
      <c r="C12" s="7" t="inlineStr">
        <is>
          <t>Written by your R pipeline (googlesheets4) after calls are made.</t>
        </is>
      </c>
    </row>
    <row r="13" ht="18" customHeight="1">
      <c r="B13" s="10" t="inlineStr">
        <is>
          <t>Grey</t>
        </is>
      </c>
      <c r="C13" s="7" t="inlineStr">
        <is>
          <t>A formula. Do not type over it. The Apps Script copies these down when it adds a row.</t>
        </is>
      </c>
    </row>
    <row r="14">
      <c r="B14" s="11" t="inlineStr">
        <is>
          <t>Yellow cell</t>
        </is>
      </c>
      <c r="C14" s="12" t="inlineStr">
        <is>
          <t>Needs a value from you before going live (placeholders on Settings).</t>
        </is>
      </c>
    </row>
    <row r="16" ht="22" customHeight="1">
      <c r="B16" s="4" t="inlineStr">
        <is>
          <t>Tabs</t>
        </is>
      </c>
      <c r="C16" s="5" t="n"/>
      <c r="D16" s="5" t="n"/>
    </row>
    <row r="17" ht="18" customHeight="1">
      <c r="B17" s="13" t="inlineStr">
        <is>
          <t>Tab</t>
        </is>
      </c>
      <c r="C17" s="13" t="inlineStr">
        <is>
          <t>One row per</t>
        </is>
      </c>
      <c r="D17" s="13" t="inlineStr">
        <is>
          <t>What it holds</t>
        </is>
      </c>
    </row>
    <row r="18" ht="18" customHeight="1">
      <c r="B18" s="14" t="inlineStr">
        <is>
          <t>Settings</t>
        </is>
      </c>
      <c r="C18" s="15" t="inlineStr">
        <is>
          <t>setting</t>
        </is>
      </c>
      <c r="D18" s="15" t="inlineStr">
        <is>
          <t>Addresses, drop-off hours and contact details used on the pages, packing slip and invoices.</t>
        </is>
      </c>
    </row>
    <row r="19" ht="18" customHeight="1">
      <c r="B19" s="14" t="inlineStr">
        <is>
          <t>Producers</t>
        </is>
      </c>
      <c r="C19" s="15" t="inlineStr">
        <is>
          <t>producer (flock)</t>
        </is>
      </c>
      <c r="D19" s="15" t="inlineStr">
        <is>
          <t>Contact details. A returning producer keeps the same Producer_ID.</t>
        </is>
      </c>
    </row>
    <row r="20" ht="33" customHeight="1">
      <c r="B20" s="14" t="inlineStr">
        <is>
          <t>Submissions</t>
        </is>
      </c>
      <c r="C20" s="15" t="inlineStr">
        <is>
          <t>submission form</t>
        </is>
      </c>
      <c r="D20" s="15" t="inlineStr">
        <is>
          <t>What the producer sent, consent answers, notes, private link token and where the submission is up to.</t>
        </is>
      </c>
    </row>
    <row r="21" ht="48" customHeight="1">
      <c r="B21" s="14" t="inlineStr">
        <is>
          <t>Animals</t>
        </is>
      </c>
      <c r="C21" s="15" t="inlineStr">
        <is>
          <t>animal on a form</t>
        </is>
      </c>
      <c r="D21" s="15" t="inlineStr">
        <is>
          <t>IDs, TSU, breed, birth flock, parentage details and each sample's status. Proven (2+ years at receipt) and the CS_ columns set each animal's cost-share. The receiving page sets Received = Y and Received_By as TSUs are scanned in. Role is optional and not on the form.</t>
        </is>
      </c>
    </row>
    <row r="22" ht="18" customHeight="1">
      <c r="B22" s="14" t="inlineStr">
        <is>
          <t>Photos</t>
        </is>
      </c>
      <c r="C22" s="15" t="inlineStr">
        <is>
          <t>photo</t>
        </is>
      </c>
      <c r="D22" s="15" t="inlineStr">
        <is>
          <t>Optional research photos (up to 5 per animal), saved to a Drive folder per submission.</t>
        </is>
      </c>
    </row>
    <row r="23" ht="33" customHeight="1">
      <c r="B23" s="14" t="inlineStr">
        <is>
          <t>Batches</t>
        </is>
      </c>
      <c r="C23" s="15" t="inlineStr">
        <is>
          <t>shipment to the lab</t>
        </is>
      </c>
      <c r="D23" s="15" t="inlineStr">
        <is>
          <t>Built on the staff Batches page, which also makes the GenomNZ file. Samples counts originals and replacements.</t>
        </is>
      </c>
    </row>
    <row r="24" ht="33" customHeight="1">
      <c r="B24" s="14" t="inlineStr">
        <is>
          <t>Replacements</t>
        </is>
      </c>
      <c r="C24" s="15" t="inlineStr">
        <is>
          <t>replacement TSU</t>
        </is>
      </c>
      <c r="D24" s="15" t="inlineStr">
        <is>
          <t>A new TSU for a failed sample, or a late original, registered by the producer from their results page.</t>
        </is>
      </c>
    </row>
    <row r="25" ht="33" customHeight="1">
      <c r="B25" s="14" t="inlineStr">
        <is>
          <t>Conditions</t>
        </is>
      </c>
      <c r="C25" s="15" t="inlineStr">
        <is>
          <t>condition tested</t>
        </is>
      </c>
      <c r="D25" s="15" t="inlineStr">
        <is>
          <t>Name, explanation and whether it shows on the web page. Feeds the Excel "How to read" tab and the PDF.</t>
        </is>
      </c>
    </row>
    <row r="26" ht="18" customHeight="1">
      <c r="B26" s="14" t="inlineStr">
        <is>
          <t>Result_Key</t>
        </is>
      </c>
      <c r="C26" s="15" t="inlineStr">
        <is>
          <t>possible call</t>
        </is>
      </c>
      <c r="D26" s="15" t="inlineStr">
        <is>
          <t>Turns a call (RR, 1/3, ...) into the label and colour producers see.</t>
        </is>
      </c>
    </row>
    <row r="27" ht="33" customHeight="1">
      <c r="B27" s="14" t="inlineStr">
        <is>
          <t>Results</t>
        </is>
      </c>
      <c r="C27" s="15" t="inlineStr">
        <is>
          <t>animal x condition</t>
        </is>
      </c>
      <c r="D27" s="15" t="inlineStr">
        <is>
          <t>Written by R (push_results): genotype, call, and the label and colour looked up from Result_Key. Released = Y makes it visible.</t>
        </is>
      </c>
    </row>
    <row r="28" ht="18" customHeight="1">
      <c r="B28" s="14" t="inlineStr">
        <is>
          <t>Parentage</t>
        </is>
      </c>
      <c r="C28" s="15" t="inlineStr">
        <is>
          <t>animal with parentage</t>
        </is>
      </c>
      <c r="D28" s="15" t="inlineStr">
        <is>
          <t>Written by R (push_parentage): sire and dam results. Released = Y makes it visible.</t>
        </is>
      </c>
    </row>
    <row r="29" ht="33" customHeight="1">
      <c r="B29" s="14" t="inlineStr">
        <is>
          <t>Candidate_Parents</t>
        </is>
      </c>
      <c r="C29" s="15" t="inlineStr">
        <is>
          <t>genotyped animal</t>
        </is>
      </c>
      <c r="D29" s="15" t="inlineStr">
        <is>
          <t>Every animal genotyped through the service, by flock. The pool R checks each lamb's parentage against.</t>
        </is>
      </c>
    </row>
    <row r="30" ht="33" customHeight="1">
      <c r="B30" s="14" t="inlineStr">
        <is>
          <t>Services</t>
        </is>
      </c>
      <c r="C30" s="15" t="inlineStr">
        <is>
          <t>service or charge</t>
        </is>
      </c>
      <c r="D30" s="15" t="inlineStr">
        <is>
          <t>Your price list. GENO (genotyping with conditions and parentage) is the standard test; add other services and charges here.</t>
        </is>
      </c>
    </row>
    <row r="31" ht="33" customHeight="1">
      <c r="B31" s="14" t="inlineStr">
        <is>
          <t>Invoices</t>
        </is>
      </c>
      <c r="C31" s="15" t="inlineStr">
        <is>
          <t>invoice</t>
        </is>
      </c>
      <c r="D31" s="15" t="inlineStr">
        <is>
          <t>Created when the box is received. Totals its lines and splits the cost when the submission is in a cost-share program.</t>
        </is>
      </c>
    </row>
    <row r="32" ht="33" customHeight="1">
      <c r="B32" s="14" t="inlineStr">
        <is>
          <t>Invoice_Lines</t>
        </is>
      </c>
      <c r="C32" s="15" t="inlineStr">
        <is>
          <t>line on an invoice</t>
        </is>
      </c>
      <c r="D32" s="15" t="inlineStr">
        <is>
          <t>What is billed. Every invoice starts with a GENO line (qty = TSUs received, fixed when sent; one line per cost-share program and level); add lines for other services or charges.</t>
        </is>
      </c>
    </row>
    <row r="33" ht="33" customHeight="1">
      <c r="B33" s="14" t="inlineStr">
        <is>
          <t>Cost_Share</t>
        </is>
      </c>
      <c r="C33" s="15" t="inlineStr">
        <is>
          <t>cost-share program</t>
        </is>
      </c>
      <c r="D33" s="15" t="inlineStr">
        <is>
          <t>ASI and any grants: what each pays per animal (Full_Share, Partial_Share) and whether it is for NSIP animals only.</t>
        </is>
      </c>
    </row>
    <row r="34" ht="33" customHeight="1">
      <c r="B34" s="14" t="inlineStr">
        <is>
          <t>Email_Templates</t>
        </is>
      </c>
      <c r="C34" s="15" t="inlineStr">
        <is>
          <t>email</t>
        </is>
      </c>
      <c r="D34" s="15" t="inlineStr">
        <is>
          <t>The wording of every email. Edit Subject and Body here; {Placeholders} and {#if ...}{/if} parts are filled in automatically.</t>
        </is>
      </c>
    </row>
    <row r="35" ht="18" customHeight="1">
      <c r="B35" s="14" t="inlineStr">
        <is>
          <t>Email_Log</t>
        </is>
      </c>
      <c r="C35" s="15" t="inlineStr">
        <is>
          <t>email sent</t>
        </is>
      </c>
      <c r="D35" s="15" t="inlineStr">
        <is>
          <t>Every email the system sends, with who sent it. Written automatically.</t>
        </is>
      </c>
    </row>
    <row r="36" ht="18" customHeight="1">
      <c r="B36" s="14" t="inlineStr">
        <is>
          <t>Partner_Billing</t>
        </is>
      </c>
      <c r="C36" s="15" t="inlineStr">
        <is>
          <t>bill to a partner</t>
        </is>
      </c>
      <c r="D36" s="15" t="inlineStr">
        <is>
          <t>One bill per program and period (for example quarterly), totalled from the invoice lines.</t>
        </is>
      </c>
    </row>
    <row r="38" ht="22" customHeight="1">
      <c r="B38" s="4" t="inlineStr">
        <is>
          <t>IDs</t>
        </is>
      </c>
      <c r="C38" s="5" t="n"/>
      <c r="D38" s="5" t="n"/>
    </row>
    <row r="39" ht="18" customHeight="1">
      <c r="B39" s="14" t="inlineStr">
        <is>
          <t>Producer_ID</t>
        </is>
      </c>
      <c r="C39" s="15" t="inlineStr">
        <is>
          <t>P003</t>
        </is>
      </c>
      <c r="D39" s="15" t="inlineStr">
        <is>
          <t>One per flock, reused on every submission.</t>
        </is>
      </c>
    </row>
    <row r="40" ht="18" customHeight="1">
      <c r="B40" s="14" t="inlineStr">
        <is>
          <t>Submission_ID</t>
        </is>
      </c>
      <c r="C40" s="15" t="inlineStr">
        <is>
          <t>P003-01</t>
        </is>
      </c>
      <c r="D40" s="15" t="inlineStr">
        <is>
          <t>Producer ID plus that producer's submission number.</t>
        </is>
      </c>
    </row>
    <row r="41" ht="48" customHeight="1">
      <c r="B41" s="14" t="inlineStr">
        <is>
          <t>Animal_Key</t>
        </is>
      </c>
      <c r="C41" s="15" t="inlineStr">
        <is>
          <t>P003-01-26001</t>
        </is>
      </c>
      <c r="D41" s="15" t="inlineStr">
        <is>
          <t>Submission ID plus flock tag, or plus the EID when there is no flock tag (P004-01-840003307300001). Stays the same if the animal is resampled with a new TSU. Results and Parentage rows use this.</t>
        </is>
      </c>
    </row>
    <row r="42" ht="18" customHeight="1">
      <c r="B42" s="14" t="inlineStr">
        <is>
          <t>Invoice_ID</t>
        </is>
      </c>
      <c r="C42" s="15" t="inlineStr">
        <is>
          <t>INV-P003-01</t>
        </is>
      </c>
      <c r="D42" s="15" t="inlineStr">
        <is>
          <t>One invoice per submission.</t>
        </is>
      </c>
    </row>
    <row r="43" ht="18" customHeight="1">
      <c r="B43" s="14" t="inlineStr">
        <is>
          <t>Private_Link_Token</t>
        </is>
      </c>
      <c r="C43" s="15" t="inlineStr">
        <is>
          <t>a3Fh8LwZ0qNe</t>
        </is>
      </c>
      <c r="D43" s="15" t="inlineStr">
        <is>
          <t>Random, made by the Apps Script. It is the secret part of the producer's results link.</t>
        </is>
      </c>
    </row>
    <row r="45" ht="22" customHeight="1">
      <c r="B45" s="4" t="inlineStr">
        <is>
          <t>A submission from start to finish</t>
        </is>
      </c>
      <c r="C45" s="5" t="n"/>
      <c r="D45" s="5" t="n"/>
    </row>
    <row r="46" ht="33" customHeight="1">
      <c r="B46" s="14" t="inlineStr">
        <is>
          <t>1. Submitted</t>
        </is>
      </c>
      <c r="C46" s="15" t="inlineStr">
        <is>
          <t>Apps Script</t>
        </is>
      </c>
      <c r="D46" s="15" t="inlineStr">
        <is>
          <t>Adds rows to Submissions, Animals and Photos, emails the producer their private link. Status = Submitted.</t>
        </is>
      </c>
    </row>
    <row r="47" ht="33" customHeight="1">
      <c r="B47" s="14" t="inlineStr">
        <is>
          <t>2. Box received</t>
        </is>
      </c>
      <c r="C47" s="15" t="inlineStr">
        <is>
          <t>You</t>
        </is>
      </c>
      <c r="D47" s="15" t="inlineStr">
        <is>
          <t>Scan TSUs in (Received = Y), set Received_Date and Status = Received. The Apps Script creates the invoice with one GENO line counting the TSUs received.</t>
        </is>
      </c>
    </row>
    <row r="48" ht="33" customHeight="1">
      <c r="B48" s="14" t="inlineStr">
        <is>
          <t>3. Sent to lab</t>
        </is>
      </c>
      <c r="C48" s="15" t="inlineStr">
        <is>
          <t>You</t>
        </is>
      </c>
      <c r="D48" s="15" t="inlineStr">
        <is>
          <t>On the staff Batches page, pick the ready samples, download the GenomNZ file, then mark the batch Shipped. Animals get the batch ID and Status = At lab.</t>
        </is>
      </c>
    </row>
    <row r="49" ht="33" customHeight="1">
      <c r="B49" s="14" t="inlineStr">
        <is>
          <t>4. Results back</t>
        </is>
      </c>
      <c r="C49" s="15" t="inlineStr">
        <is>
          <t>R</t>
        </is>
      </c>
      <c r="D49" s="15" t="inlineStr">
        <is>
          <t>push_results() and push_parentage() write the calls with Released = N, add newly genotyped animals to Candidate_Parents, and set Status = Analyzing.</t>
        </is>
      </c>
    </row>
    <row r="50" ht="33" customHeight="1">
      <c r="B50" s="14" t="inlineStr">
        <is>
          <t>5. Released</t>
        </is>
      </c>
      <c r="C50" s="15" t="inlineStr">
        <is>
          <t>You</t>
        </is>
      </c>
      <c r="D50" s="15" t="inlineStr">
        <is>
          <t>Set Released = Y, Results_Released_Date and Status = Results released. The producer's page shows results and they are emailed.</t>
        </is>
      </c>
    </row>
    <row r="52" ht="22" customHeight="1">
      <c r="B52" s="4" t="inlineStr">
        <is>
          <t>Cost-share invoices</t>
        </is>
      </c>
      <c r="C52" s="5" t="n"/>
      <c r="D52" s="5" t="n"/>
    </row>
    <row r="53" ht="47" customHeight="1">
      <c r="B53" s="3" t="inlineStr">
        <is>
          <t>Cost-share is decided per animal. ASI (CS01) covers NSIP animals only: proven animals (2 years and older) in full ($18, producer pays nothing) and animals under 2 partly ($6, producer pays $12). Animals without an NSIP_ID are never covered by ASI. Pick the program in Cost_Share_Program on the producer's Submissions row and the defaults apply to every animal on it.</t>
        </is>
      </c>
    </row>
    <row r="54" ht="62" customHeight="1">
      <c r="B54" s="3" t="inlineStr">
        <is>
          <t>Exceptions go on the Animals tab: CS_Override_Level (Full, Partial or None) changes one animal, for example an NSIP animal under 2 that ASI covers in full. CS_Override_Program puts one animal under another program, such as a grant (GR01); give it a level too. CS_Program and CS_Level show what will be billed. A program marked Requires_NSIP = Y is never applied to an animal without an NSIP_ID.</t>
        </is>
      </c>
    </row>
    <row r="55" ht="47" customHeight="1">
      <c r="B55" s="3" t="inlineStr">
        <is>
          <t>Animals.Proven is worked out from Year_of_Birth: receipt year minus birth year (the earliest year of a range) of at least Settings &gt; Proven_Min_Age. It uses the year only, so an animal born in 2024 counts as 2 for any box received in 2026. An animal with no Year_of_Birth counts as under 2.</t>
        </is>
      </c>
    </row>
    <row r="56" ht="62" customHeight="1">
      <c r="B56" s="3" t="inlineStr">
        <is>
          <t>When the box is received the Apps Script drafts the invoice with one GENO line per program and level (covered in full by ASI, partly covered by ASI, covered in full by a grant); animals with no cost-share go on the plain GENO line, from the received animals' CS_Program and CS_Level. Set any overrides before then, or change them afterwards and choose Genotyping &gt; Recalculate invoice before Send invoice. A sent invoice never changes. The invoice shows the full price for every animal, the cost-share as a deduction per program, and Total due from you, with no note about what a program covers.</t>
        </is>
      </c>
    </row>
    <row r="57" ht="47" customHeight="1">
      <c r="B57" s="3" t="inlineStr">
        <is>
          <t>To bill a partner, add a Partner_Billing row per program and period (say quarterly). It totals the full and partial animals and the amount due from the sent and paid producer invoices dated in that period. Log checks in Check_Number and Paid_Date on Invoices and Partner_Billing.</t>
        </is>
      </c>
    </row>
    <row r="59" ht="22" customHeight="1">
      <c r="B59" s="4" t="inlineStr">
        <is>
          <t>Adding a service or charge</t>
        </is>
      </c>
      <c r="C59" s="5" t="n"/>
      <c r="D59" s="5" t="n"/>
    </row>
    <row r="60" ht="32" customHeight="1">
      <c r="B60" s="3" t="inlineStr">
        <is>
          <t>Tissue Sampling Units supplied by MSU are on Services as TSU ($2.75 each). They are never added automatically: when a producer needs them billed, add an Invoice_Lines row with the invoice ID, pick TSU, enter the quantity and the price, before sending the invoice.</t>
        </is>
      </c>
    </row>
    <row r="61" ht="62" customHeight="1">
      <c r="B61" s="3" t="inlineStr">
        <is>
          <t>For a new service you will offer regularly, add a row to Services with its price and set Active = Y. For a one-off, add a row to Invoice_Lines with the invoice ID, pick OTHER (or CREDIT, with a negative price) and type the description and price. Prices are copied onto each invoice line, so changing a price on Services later does not change invoices already sent. The GENO line's Qty is the number of TSUs received, written when the invoice is created, so later changes (a replacement, a late TSU) never alter a sent invoice. Replacements for failed samples are free. An original TSU that arrives late gets its own small invoice.</t>
        </is>
      </c>
    </row>
    <row r="63" ht="22" customHeight="1">
      <c r="B63" s="4" t="inlineStr">
        <is>
          <t>Staff pages and the passphrase</t>
        </is>
      </c>
      <c r="C63" s="5" t="n"/>
      <c r="D63" s="5" t="n"/>
    </row>
    <row r="64" ht="47" customHeight="1">
      <c r="B64" s="3" t="inlineStr">
        <is>
          <t>The receiving and batches pages ask for the staff passphrase (Settings &gt; Staff_Passphrase) and the person's name, remembered on that device. The Apps Script checks the passphrase on every request, so it never appears in the page code. Change it on Settings at any time; everyone is then asked for the new one.</t>
        </is>
      </c>
    </row>
    <row r="66" ht="22" customHeight="1">
      <c r="B66" s="4" t="inlineStr">
        <is>
          <t>Signatures</t>
        </is>
      </c>
      <c r="C66" s="5" t="n"/>
      <c r="D66" s="5" t="n"/>
    </row>
    <row r="67" ht="77" customHeight="1">
      <c r="B67" s="3" t="inlineStr">
        <is>
          <t>Consent is no longer on the Excel form. Producers sign online as the last step of the submission page (Signature_Method = Online): they answer the research-use question, tick the agreement and type their full name. A submission cannot be sent unsigned: the only alternative is choosing the paper consent form (Signature_Method = Paper), which goes in the box. Online signatures fill Research_Use, Signed_By and Signed_Date, with the exact time. For paper, the receiving page records them from the form (research answer and signer name) when the box arrives. A paper box that arrives without its form goes on hold; the reminder email lets them sign online instead.</t>
        </is>
      </c>
    </row>
    <row r="68" ht="62" customHeight="1">
      <c r="B68" s="3" t="inlineStr">
        <is>
          <t>NSIP sharing is not a choice: genotypes for every animal with an NSIP_ID go to NSIP (cost-share programs require it). Christian sends them from the locally stored genotype files, outside this tracker; NSIP_Animals on Submissions just counts those animals. Producers are not told on the results page or in emails when NSIP gets their data.</t>
        </is>
      </c>
    </row>
    <row r="70" ht="22" customHeight="1">
      <c r="B70" s="4" t="inlineStr">
        <is>
          <t>Withdrawing from research</t>
        </is>
      </c>
      <c r="C70" s="5" t="n"/>
      <c r="D70" s="5" t="n"/>
    </row>
    <row r="71" ht="62" customHeight="1">
      <c r="B71" s="3" t="inlineStr">
        <is>
          <t>Producers withdraw by emailing christian.posbergh@montana.edu. Set Research_Use to N on their submission(s), enter Research_Withdrawn_Date, and delete their photos from Drive and from the archive (Photos tab shows where each one went). Their results are unaffected.</t>
        </is>
      </c>
    </row>
    <row r="73" ht="22" customHeight="1">
      <c r="B73" s="4" t="inlineStr">
        <is>
          <t>Photos</t>
        </is>
      </c>
      <c r="C73" s="5" t="n"/>
      <c r="D73" s="5" t="n"/>
    </row>
    <row r="74" ht="62" customHeight="1">
      <c r="B74" s="3" t="inlineStr">
        <is>
          <t>Photos are optional, so most animals have none. They land in a Drive folder per submission. Download them to long-term storage regularly, fill Archived_Date and Archive_Location on the Photos tab, then delete them from Drive to keep the Google account under its storage limit. Photos are only kept when Research_Use is Y.</t>
        </is>
      </c>
    </row>
    <row r="75" ht="62" customHeight="1">
      <c r="B75" s="3" t="inlineStr">
        <is>
          <t>Paper is the backup (Signature_Method = Paper): the sign page and emails link to a printable consent form (Settings &gt; Paper_Consent_Form). The producer puts it in the box or emails a photo. At receiving, staff tick "Signed paper consent form is in the box" and photograph it; the photo is saved to the submission's Drive folder and the answers are typed into Submissions. Unsigned submissions are received as normal but show On hold and are left out of batches.</t>
        </is>
      </c>
    </row>
    <row r="77" ht="22" customHeight="1">
      <c r="B77" s="4" t="inlineStr">
        <is>
          <t>Batches</t>
        </is>
      </c>
      <c r="C77" s="5" t="n"/>
      <c r="D77" s="5" t="n"/>
    </row>
    <row r="78" ht="62" customHeight="1">
      <c r="B78" s="3" t="inlineStr">
        <is>
          <t>The Batches page lists every received, signed sample not yet in a batch (replacements included, marked as such). Pick samples or whole submissions, create the batch, and download the GenomNZ file: Birth Flock = Settings &gt; GenomNZ_Birth_Flock, Birth Tag = Animal_Key, YOB (earliest year of a range), Breed, Sex and TSU Barcode; every other column is left blank. Mark it Shipped when it goes out: the batch ID goes on each animal (or on the Replacements row) and those submissions move to At lab.</t>
        </is>
      </c>
    </row>
    <row r="80" ht="22" customHeight="1">
      <c r="B80" s="4" t="inlineStr">
        <is>
          <t>Replacement TSUs</t>
        </is>
      </c>
      <c r="C80" s="5" t="n"/>
      <c r="D80" s="5" t="n"/>
    </row>
    <row r="81" ht="77" customHeight="1">
      <c r="B81" s="3" t="inlineStr">
        <is>
          <t>When a sample fails QC or never arrived, the producer's results page offers "Send a replacement TSU". They pick the animal(s), scan or type the new TSU (or confirm they are sending the original one), and print a small replacement slip (P003-01-R1). That adds Replacements rows, puts the new TSU on the animal (the old one moves to Replaced_TSU, and the old batch to the Replacements row, clearing Batch) and sets Sample_Status to Awaiting replacement. Receiving recognises the slip or the TSU, marks the Replacements row received, and the sample then goes into the next batch like any other. The Animal_Key never changes, so results land on the same animal. Replacements are free.</t>
        </is>
      </c>
    </row>
    <row r="83" ht="22" customHeight="1">
      <c r="B83" s="4" t="inlineStr">
        <is>
          <t>Sending results from R</t>
        </is>
      </c>
      <c r="C83" s="5" t="n"/>
      <c r="D83" s="5" t="n"/>
    </row>
    <row r="84" ht="62" customHeight="1">
      <c r="B84" s="3" t="inlineStr">
        <is>
          <t>Use tracker_push.R. It signs in to Google once as the service account, then push_results() and push_parentage() write each batch. Both check your calls first (every animal must be on Animals, every call must be in Result_Key) and stop with a list of problems before writing anything. Re-running is safe: rows already there are skipped, and a changed call replaces its row and sets Released back to N so you review it again. Use dry_run = TRUE to see what would change.</t>
        </is>
      </c>
    </row>
    <row r="85" ht="32" customHeight="1">
      <c r="B85" s="3" t="inlineStr">
        <is>
          <t>Releasing is separate: nothing R writes is visible to producers until Released = Y (the Release menu in the Apps Script sets this for a whole submission and sends the results email).</t>
        </is>
      </c>
    </row>
    <row r="87" ht="22" customHeight="1">
      <c r="B87" s="4" t="inlineStr">
        <is>
          <t>Candidate parents</t>
        </is>
      </c>
      <c r="C87" s="5" t="n"/>
      <c r="D87" s="5" t="n"/>
    </row>
    <row r="88" ht="62" customHeight="1">
      <c r="B88" s="3" t="inlineStr">
        <is>
          <t>When an animal's genotype is complete, the Apps Script (or your R script) adds it to Candidate_Parents under its flock's Producer_ID. For each lamb, the candidate list is that flock's Active = Y rows of the right sex and born before the lamb, plus any genotyped animals in the same submission. Lambs are added too, so they become candidates in later years. Only animals genotyped through this service are included.</t>
        </is>
      </c>
    </row>
    <row r="89" ht="47" customHeight="1">
      <c r="B89" s="3" t="inlineStr">
        <is>
          <t>Set Active = N when a ram or ewe leaves the flock so it drops out of new candidate lists (it still counts for lambs that already name it). If a producer buys a ram genotyped under another flock, add a row for him with the buyer's Producer_ID.</t>
        </is>
      </c>
    </row>
    <row r="90" ht="47" customHeight="1">
      <c r="B90" s="3" t="inlineStr">
        <is>
          <t>On Animals, Reported_Sire_Status and Reported_Dam_Status show whether each lamb's reported parent can be checked: Genotyped, In this submission (will be once results are in) or Not genotyped. They match the reported ID against flock tag, EID or NSIP ID.</t>
        </is>
      </c>
    </row>
    <row r="92" ht="22" customHeight="1">
      <c r="B92" s="4" t="inlineStr">
        <is>
          <t>Adding a condition</t>
        </is>
      </c>
      <c r="C92" s="5" t="n"/>
      <c r="D92" s="5" t="n"/>
    </row>
    <row r="93" ht="47" customHeight="1">
      <c r="B93" s="3" t="inlineStr">
        <is>
          <t>Add a row to Conditions (Show_On_Web = N keeps it off the web page but in the Excel file and PDF), add one row per possible call to Result_Key, then have R write that condition's rows to Results. Nothing else changes. If R sends a call that is not in Result_Key, push_results() stops and lists the rows, so nothing unlabelled reaches producers.</t>
        </is>
      </c>
    </row>
    <row r="95" ht="22" customHeight="1">
      <c r="B95" s="4" t="inlineStr">
        <is>
          <t>Keep as text</t>
        </is>
      </c>
      <c r="C95" s="5" t="n"/>
      <c r="D95" s="5" t="n"/>
    </row>
    <row r="96" ht="32" customHeight="1">
      <c r="B96" s="3" t="inlineStr">
        <is>
          <t>EID, NSIP_ID, TSU_Barcode, Flock_Tag and Year_of_Birth are formatted as plain text so 15-digit EIDs and ranges like 2018-2020 are not changed into numbers or dates. Leave those columns formatted as text.</t>
        </is>
      </c>
    </row>
  </sheetData>
  <mergeCells count="29">
    <mergeCell ref="B60:D60"/>
    <mergeCell ref="B67:D67"/>
    <mergeCell ref="B61:D61"/>
    <mergeCell ref="B57:D57"/>
    <mergeCell ref="C14:D14"/>
    <mergeCell ref="B88:D88"/>
    <mergeCell ref="B53:D53"/>
    <mergeCell ref="B78:D78"/>
    <mergeCell ref="C10:D10"/>
    <mergeCell ref="B84:D84"/>
    <mergeCell ref="B74:D74"/>
    <mergeCell ref="B68:D68"/>
    <mergeCell ref="B55:D55"/>
    <mergeCell ref="B64:D64"/>
    <mergeCell ref="B89:D89"/>
    <mergeCell ref="C12:D12"/>
    <mergeCell ref="B85:D85"/>
    <mergeCell ref="C11:D11"/>
    <mergeCell ref="B4:D4"/>
    <mergeCell ref="B75:D75"/>
    <mergeCell ref="B7:D7"/>
    <mergeCell ref="B54:D54"/>
    <mergeCell ref="B81:D81"/>
    <mergeCell ref="B90:D90"/>
    <mergeCell ref="B71:D71"/>
    <mergeCell ref="B93:D93"/>
    <mergeCell ref="B56:D56"/>
    <mergeCell ref="B96:D96"/>
    <mergeCell ref="C13:D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0"/>
  <sheetViews>
    <sheetView zoomScale="110"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46" customWidth="1" min="2" max="2"/>
    <col width="70" customWidth="1" min="3" max="3"/>
  </cols>
  <sheetData>
    <row r="1" ht="24" customHeight="1">
      <c r="A1" s="16" t="inlineStr">
        <is>
          <t>Setting</t>
        </is>
      </c>
      <c r="B1" s="16" t="inlineStr">
        <is>
          <t>Value</t>
        </is>
      </c>
      <c r="C1" s="16" t="inlineStr">
        <is>
          <t>Notes</t>
        </is>
      </c>
    </row>
    <row r="2">
      <c r="A2" s="17" t="inlineStr">
        <is>
          <t>Resample_Policy</t>
        </is>
      </c>
      <c r="B2" s="15" t="inlineStr">
        <is>
          <t>Replacement TSUs for samples that fail the lab quality check are tested at no charge.</t>
        </is>
      </c>
      <c r="C2" s="15" t="inlineStr">
        <is>
          <t>Shown to producers when a TSU fails the lab quality check.</t>
        </is>
      </c>
    </row>
    <row r="3">
      <c r="A3" s="17" t="inlineStr">
        <is>
          <t>Checks_Payable_To</t>
        </is>
      </c>
      <c r="B3" s="15" t="inlineStr">
        <is>
          <t>Montana State University</t>
        </is>
      </c>
      <c r="C3" s="15" t="inlineStr">
        <is>
          <t>Printed on invoices.</t>
        </is>
      </c>
    </row>
    <row r="4">
      <c r="A4" s="17" t="inlineStr">
        <is>
          <t>Mailing_Address</t>
        </is>
      </c>
      <c r="B4" s="15" t="inlineStr">
        <is>
          <t>MSU Sheep Genotyping, 311 Animal Biosciences Building, Bozeman, MT 59717</t>
        </is>
      </c>
      <c r="C4" s="15" t="inlineStr">
        <is>
          <t>Printed on the packing slip and invoices.</t>
        </is>
      </c>
    </row>
    <row r="5">
      <c r="A5" s="17" t="inlineStr">
        <is>
          <t>Dropoff_Location</t>
        </is>
      </c>
      <c r="B5" s="15" t="inlineStr">
        <is>
          <t>Montana Wool Lab</t>
        </is>
      </c>
      <c r="C5" s="15" t="inlineStr">
        <is>
          <t>Printed on the packing slip.</t>
        </is>
      </c>
    </row>
    <row r="6">
      <c r="A6" s="17" t="inlineStr">
        <is>
          <t>Dropoff_Hours</t>
        </is>
      </c>
      <c r="B6" s="15" t="inlineStr">
        <is>
          <t>M-F 8am-5pm</t>
        </is>
      </c>
      <c r="C6" s="15" t="inlineStr">
        <is>
          <t>Printed on the packing slip.</t>
        </is>
      </c>
    </row>
    <row r="7">
      <c r="A7" s="17" t="inlineStr">
        <is>
          <t>Contact_Email</t>
        </is>
      </c>
      <c r="B7" s="15" t="inlineStr">
        <is>
          <t>christian.posbergh@montana.edu</t>
        </is>
      </c>
      <c r="C7" s="15" t="inlineStr">
        <is>
          <t>Shown on every page, the packing slip and invoices.</t>
        </is>
      </c>
    </row>
    <row r="8">
      <c r="A8" s="17" t="inlineStr">
        <is>
          <t>Email_From_Name</t>
        </is>
      </c>
      <c r="B8" s="15" t="inlineStr">
        <is>
          <t>MSU Sheep Genotyping</t>
        </is>
      </c>
      <c r="C8" s="15" t="inlineStr">
        <is>
          <t>The sender name producers see on every email.</t>
        </is>
      </c>
    </row>
    <row r="9">
      <c r="A9" s="17" t="inlineStr">
        <is>
          <t>Email_Reply_To</t>
        </is>
      </c>
      <c r="B9" s="15" t="inlineStr">
        <is>
          <t>christian.posbergh@montana.edu</t>
        </is>
      </c>
      <c r="C9" s="15" t="inlineStr">
        <is>
          <t>Producer replies go here, not to the Gmail account that sends the emails.</t>
        </is>
      </c>
    </row>
    <row r="10">
      <c r="A10" s="17" t="inlineStr">
        <is>
          <t>Service_Gmail_Address</t>
        </is>
      </c>
      <c r="B10" s="15" t="inlineStr">
        <is>
          <t>cposbergh@gmail.com</t>
        </is>
      </c>
      <c r="C10" s="15" t="inlineStr">
        <is>
          <t>The Google account that owns this sheet and runs the Apps Script. Emails are sent from it.</t>
        </is>
      </c>
    </row>
    <row r="11">
      <c r="A11" s="17" t="inlineStr">
        <is>
          <t>Contact_Phone</t>
        </is>
      </c>
      <c r="B11" s="15" t="inlineStr">
        <is>
          <t>406-994-3736</t>
        </is>
      </c>
      <c r="C11" s="15" t="inlineStr"/>
    </row>
    <row r="12">
      <c r="A12" s="17" t="inlineStr">
        <is>
          <t>Genotyping_Lab</t>
        </is>
      </c>
      <c r="B12" s="15" t="inlineStr">
        <is>
          <t>GenomNZ</t>
        </is>
      </c>
      <c r="C12" s="15" t="inlineStr">
        <is>
          <t>Default lab for new batches.</t>
        </is>
      </c>
    </row>
    <row r="13">
      <c r="A13" s="17" t="inlineStr">
        <is>
          <t>GenomNZ_Birth_Flock</t>
        </is>
      </c>
      <c r="B13" s="15" t="inlineStr">
        <is>
          <t>Montana State University</t>
        </is>
      </c>
      <c r="C13" s="15" t="inlineStr">
        <is>
          <t>Written in the Birth Flock column of every GenomNZ batch file.</t>
        </is>
      </c>
    </row>
    <row r="14">
      <c r="A14" s="17" t="inlineStr">
        <is>
          <t>Site_URL</t>
        </is>
      </c>
      <c r="B14" s="15" t="inlineStr">
        <is>
          <t>https://cjposbergh.github.io/MSUSheepGenotyping/</t>
        </is>
      </c>
      <c r="C14" s="15" t="inlineStr">
        <is>
          <t>The public website (GitHub Pages). Links in every email start here.</t>
        </is>
      </c>
    </row>
    <row r="15">
      <c r="A15" s="17" t="inlineStr">
        <is>
          <t>GitHub_Repo</t>
        </is>
      </c>
      <c r="B15" s="15" t="inlineStr">
        <is>
          <t>https://github.com/CJPosbergh/MSUSheepGenotyping</t>
        </is>
      </c>
      <c r="C15" s="15" t="inlineStr">
        <is>
          <t>Where the website code and README live.</t>
        </is>
      </c>
    </row>
    <row r="16">
      <c r="A16" s="17" t="inlineStr">
        <is>
          <t>Blank_Submission_Form</t>
        </is>
      </c>
      <c r="B16" s="15" t="inlineStr">
        <is>
          <t>https://docs.google.com/spreadsheets/d/1ujVd1LlhDL7ErsTpKPOM78TJuHAzlt2g/edit?usp=drive_link&amp;ouid=110943812388284011858&amp;rtpof=true&amp;sd=true</t>
        </is>
      </c>
      <c r="C16" s="15" t="inlineStr">
        <is>
          <t>Download link for the blank Excel submission form, shown on the submission page.</t>
        </is>
      </c>
    </row>
    <row r="17">
      <c r="A17" s="17" t="inlineStr">
        <is>
          <t>Paper_Consent_Form</t>
        </is>
      </c>
      <c r="B17" s="15" t="inlineStr">
        <is>
          <t>https://drive.google.com/file/d/1-h06tVmz_pj5PLaHjtqXAC2T5CFbq6rB/view?usp=drive_link</t>
        </is>
      </c>
      <c r="C17" s="15" t="inlineStr">
        <is>
          <t>Linked from the sign page and emails for producers who want to sign on paper.</t>
        </is>
      </c>
    </row>
    <row r="18">
      <c r="A18" s="17" t="inlineStr">
        <is>
          <t>Proven_Min_Age</t>
        </is>
      </c>
      <c r="B18" s="15" t="n">
        <v>2</v>
      </c>
      <c r="C18" s="15" t="inlineStr">
        <is>
          <t>Animals at least this many years old when the box is received count as proven (ASI covers them in full). Age = receipt year minus birth year (earliest year of a range).</t>
        </is>
      </c>
    </row>
    <row r="19">
      <c r="A19" s="17" t="inlineStr">
        <is>
          <t>Reminder_First_Days</t>
        </is>
      </c>
      <c r="B19" s="15" t="n">
        <v>7</v>
      </c>
      <c r="C19" s="15" t="inlineStr">
        <is>
          <t>Days after a box arrives without its signed consent form before the first reminder (email E03).</t>
        </is>
      </c>
    </row>
    <row r="20">
      <c r="A20" s="17" t="inlineStr">
        <is>
          <t>Reminder_Every_Days</t>
        </is>
      </c>
      <c r="B20" s="15" t="n">
        <v>7</v>
      </c>
      <c r="C20" s="15" t="inlineStr">
        <is>
          <t>Days between reminders.</t>
        </is>
      </c>
    </row>
    <row r="21">
      <c r="A21" s="17" t="inlineStr">
        <is>
          <t>Reminder_Max</t>
        </is>
      </c>
      <c r="B21" s="15" t="n">
        <v>3</v>
      </c>
      <c r="C21" s="15" t="inlineStr">
        <is>
          <t>Most reminders sent for one submission.</t>
        </is>
      </c>
    </row>
    <row r="22">
      <c r="A22" s="17" t="inlineStr">
        <is>
          <t>Root_Folder_ID</t>
        </is>
      </c>
      <c r="B22" s="15" t="inlineStr"/>
      <c r="C22" s="15" t="inlineStr">
        <is>
          <t>Filled in by Genotyping &gt; Set up (the "MSU Sheep Genotyping" Drive folder).</t>
        </is>
      </c>
    </row>
    <row r="23">
      <c r="A23" s="17" t="inlineStr">
        <is>
          <t>Submissions_Folder_ID</t>
        </is>
      </c>
      <c r="B23" s="15" t="inlineStr"/>
      <c r="C23" s="15" t="inlineStr">
        <is>
          <t>Filled in by Genotyping &gt; Set up.</t>
        </is>
      </c>
    </row>
    <row r="24">
      <c r="A24" s="17" t="inlineStr">
        <is>
          <t>Batches_Folder_ID</t>
        </is>
      </c>
      <c r="B24" s="15" t="inlineStr"/>
      <c r="C24" s="15" t="inlineStr">
        <is>
          <t>Filled in by Genotyping &gt; Set up.</t>
        </is>
      </c>
    </row>
    <row r="25">
      <c r="A25" s="17" t="inlineStr">
        <is>
          <t>Partner_Bills_Folder_ID</t>
        </is>
      </c>
      <c r="B25" s="15" t="inlineStr"/>
      <c r="C25" s="15" t="inlineStr">
        <is>
          <t>Filled in by Genotyping &gt; Set up.</t>
        </is>
      </c>
    </row>
    <row r="26">
      <c r="A26" s="17" t="inlineStr">
        <is>
          <t>Templates_Folder_ID</t>
        </is>
      </c>
      <c r="B26" s="15" t="inlineStr"/>
      <c r="C26" s="15" t="inlineStr">
        <is>
          <t>Filled in by Genotyping &gt; Set up.</t>
        </is>
      </c>
    </row>
    <row r="27">
      <c r="A27" s="17" t="inlineStr">
        <is>
          <t>Invoice_Template_ID</t>
        </is>
      </c>
      <c r="B27" s="15" t="inlineStr"/>
      <c r="C27" s="15" t="inlineStr">
        <is>
          <t>Filled in by Genotyping &gt; Set up (a Google Doc you can edit).</t>
        </is>
      </c>
    </row>
    <row r="28">
      <c r="A28" s="17" t="inlineStr">
        <is>
          <t>Partner_Bill_Template_ID</t>
        </is>
      </c>
      <c r="B28" s="15" t="inlineStr"/>
      <c r="C28" s="15" t="inlineStr">
        <is>
          <t>Filled in by Genotyping &gt; Set up (a Google Doc you can edit).</t>
        </is>
      </c>
    </row>
    <row r="29">
      <c r="A29" s="17" t="inlineStr">
        <is>
          <t>Web_App_URL</t>
        </is>
      </c>
      <c r="B29" s="15" t="inlineStr"/>
      <c r="C29" s="15" t="inlineStr">
        <is>
          <t>The Apps Script web app address, for reference. The website reads it from assets/js/config.js.</t>
        </is>
      </c>
    </row>
    <row r="30">
      <c r="A30" s="17" t="inlineStr">
        <is>
          <t>Staff_Passphrase</t>
        </is>
      </c>
      <c r="B30" s="15" t="inlineStr"/>
      <c r="C30" s="15" t="inlineStr">
        <is>
          <t>Unlocks the staff receiving and batches pages. Type it here in your own copy of the tracker only: this file is public in the GitHub repo, so leave it blank there. Checked by the Apps Script only; never put it in the web page code. The staff pages stay locked while this is blank.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99"/>
  <sheetViews>
    <sheetView zoomScale="110" workbookViewId="0">
      <pane xSplit="1" ySplit="1" topLeftCell="B2" activePane="bottomRight" state="frozen"/>
      <selection pane="topRight"/>
      <selection pane="bottomLeft"/>
      <selection pane="bottomRight" activeCell="A1" sqref="A1"/>
    </sheetView>
  </sheetViews>
  <sheetFormatPr baseColWidth="8" defaultRowHeight="15"/>
  <cols>
    <col width="15.1" customWidth="1" min="1" max="1"/>
    <col width="20" customWidth="1" min="2" max="2"/>
    <col width="16.2" customWidth="1" min="3" max="3"/>
    <col width="30" customWidth="1" min="4" max="4"/>
    <col width="14" customWidth="1" min="5" max="5"/>
    <col width="30" customWidth="1" min="6" max="6"/>
    <col width="17.3" customWidth="1" min="7" max="7"/>
    <col width="19.5" customWidth="1" min="8" max="8"/>
    <col width="15.1" customWidth="1" min="9" max="9"/>
    <col width="30" customWidth="1" min="10" max="10"/>
  </cols>
  <sheetData>
    <row r="1" ht="24" customHeight="1">
      <c r="A1" s="18" t="inlineStr">
        <is>
          <t>Producer_ID</t>
        </is>
      </c>
      <c r="B1" s="18" t="inlineStr">
        <is>
          <t>Flock_Name</t>
        </is>
      </c>
      <c r="C1" s="18" t="inlineStr">
        <is>
          <t>Contact_Name</t>
        </is>
      </c>
      <c r="D1" s="18" t="inlineStr">
        <is>
          <t>Email</t>
        </is>
      </c>
      <c r="E1" s="18" t="inlineStr">
        <is>
          <t>Phone</t>
        </is>
      </c>
      <c r="F1" s="18" t="inlineStr">
        <is>
          <t>Mailing_Address</t>
        </is>
      </c>
      <c r="G1" s="18" t="inlineStr">
        <is>
          <t>NSIP_Flock_ID</t>
        </is>
      </c>
      <c r="H1" s="18" t="inlineStr">
        <is>
          <t>First_Submitted</t>
        </is>
      </c>
      <c r="I1" s="19" t="inlineStr">
        <is>
          <t>Submissions</t>
        </is>
      </c>
      <c r="J1" s="16" t="inlineStr">
        <is>
          <t>Notes</t>
        </is>
      </c>
    </row>
    <row r="2">
      <c r="A2" s="20" t="inlineStr">
        <is>
          <t>P002</t>
        </is>
      </c>
      <c r="B2" s="17" t="inlineStr">
        <is>
          <t>Prairie Flock</t>
        </is>
      </c>
      <c r="C2" s="17" t="inlineStr">
        <is>
          <t>Pat Nolan</t>
        </is>
      </c>
      <c r="D2" s="17" t="inlineStr">
        <is>
          <t>pat@prairieflock.example.com</t>
        </is>
      </c>
      <c r="E2" s="20" t="inlineStr">
        <is>
          <t>406-555-0150</t>
        </is>
      </c>
      <c r="F2" s="17" t="inlineStr">
        <is>
          <t>Box 22, Harlowton MT</t>
        </is>
      </c>
      <c r="G2" s="20" t="inlineStr"/>
      <c r="H2" s="21" t="n">
        <v>46296</v>
      </c>
      <c r="I2" s="17">
        <f>COUNTIF(Submissions!B:B,A2)</f>
        <v/>
      </c>
      <c r="J2" s="17" t="inlineStr"/>
    </row>
    <row r="3">
      <c r="A3" s="20" t="inlineStr">
        <is>
          <t>P003</t>
        </is>
      </c>
      <c r="B3" s="17" t="inlineStr">
        <is>
          <t>Smith Ranch</t>
        </is>
      </c>
      <c r="C3" s="17" t="inlineStr">
        <is>
          <t>Jane Smith</t>
        </is>
      </c>
      <c r="D3" s="17" t="inlineStr">
        <is>
          <t>jane.smith@example.com</t>
        </is>
      </c>
      <c r="E3" s="20" t="inlineStr">
        <is>
          <t>406-555-0101</t>
        </is>
      </c>
      <c r="F3" s="17" t="inlineStr">
        <is>
          <t>12 Ranch Rd, Big Timber MT</t>
        </is>
      </c>
      <c r="G3" s="20" t="inlineStr">
        <is>
          <t>6100</t>
        </is>
      </c>
      <c r="H3" s="21" t="n">
        <v>46296</v>
      </c>
      <c r="I3" s="17">
        <f>COUNTIF(Submissions!B:B,A3)</f>
        <v/>
      </c>
      <c r="J3" s="17" t="inlineStr"/>
    </row>
    <row r="4">
      <c r="A4" s="20" t="inlineStr">
        <is>
          <t>P004</t>
        </is>
      </c>
      <c r="B4" s="17" t="inlineStr">
        <is>
          <t>Jones Sheep Co</t>
        </is>
      </c>
      <c r="C4" s="17" t="inlineStr">
        <is>
          <t>Bob Jones</t>
        </is>
      </c>
      <c r="D4" s="17" t="inlineStr">
        <is>
          <t>bob@jonessheep.example.com</t>
        </is>
      </c>
      <c r="E4" s="20" t="inlineStr">
        <is>
          <t>406-555-0199</t>
        </is>
      </c>
      <c r="F4" s="17" t="inlineStr">
        <is>
          <t>PO Box 4, Dillon MT</t>
        </is>
      </c>
      <c r="G4" s="20" t="inlineStr"/>
      <c r="H4" s="21" t="n">
        <v>46296</v>
      </c>
      <c r="I4" s="17">
        <f>COUNTIF(Submissions!B:B,A4)</f>
        <v/>
      </c>
      <c r="J4" s="17" t="inlineStr"/>
    </row>
    <row r="5">
      <c r="A5" s="22" t="n"/>
      <c r="E5" s="22" t="n"/>
      <c r="G5" s="22" t="n"/>
      <c r="H5" s="23" t="n"/>
    </row>
    <row r="6">
      <c r="A6" s="22" t="n"/>
      <c r="E6" s="22" t="n"/>
      <c r="G6" s="22" t="n"/>
      <c r="H6" s="23" t="n"/>
    </row>
    <row r="7">
      <c r="A7" s="22" t="n"/>
      <c r="E7" s="22" t="n"/>
      <c r="G7" s="22" t="n"/>
      <c r="H7" s="23" t="n"/>
    </row>
    <row r="8">
      <c r="A8" s="22" t="n"/>
      <c r="E8" s="22" t="n"/>
      <c r="G8" s="22" t="n"/>
      <c r="H8" s="23" t="n"/>
    </row>
    <row r="9">
      <c r="A9" s="22" t="n"/>
      <c r="E9" s="22" t="n"/>
      <c r="G9" s="22" t="n"/>
      <c r="H9" s="23" t="n"/>
    </row>
    <row r="10">
      <c r="A10" s="22" t="n"/>
      <c r="E10" s="22" t="n"/>
      <c r="G10" s="22" t="n"/>
      <c r="H10" s="23" t="n"/>
    </row>
    <row r="11">
      <c r="A11" s="22" t="n"/>
      <c r="E11" s="22" t="n"/>
      <c r="G11" s="22" t="n"/>
      <c r="H11" s="23" t="n"/>
    </row>
    <row r="12">
      <c r="A12" s="22" t="n"/>
      <c r="E12" s="22" t="n"/>
      <c r="G12" s="22" t="n"/>
      <c r="H12" s="23" t="n"/>
    </row>
    <row r="13">
      <c r="A13" s="22" t="n"/>
      <c r="E13" s="22" t="n"/>
      <c r="G13" s="22" t="n"/>
      <c r="H13" s="23" t="n"/>
    </row>
    <row r="14">
      <c r="A14" s="22" t="n"/>
      <c r="E14" s="22" t="n"/>
      <c r="G14" s="22" t="n"/>
      <c r="H14" s="23" t="n"/>
    </row>
    <row r="15">
      <c r="A15" s="22" t="n"/>
      <c r="E15" s="22" t="n"/>
      <c r="G15" s="22" t="n"/>
      <c r="H15" s="23" t="n"/>
    </row>
    <row r="16">
      <c r="A16" s="22" t="n"/>
      <c r="E16" s="22" t="n"/>
      <c r="G16" s="22" t="n"/>
      <c r="H16" s="23" t="n"/>
    </row>
    <row r="17">
      <c r="A17" s="22" t="n"/>
      <c r="E17" s="22" t="n"/>
      <c r="G17" s="22" t="n"/>
      <c r="H17" s="23" t="n"/>
    </row>
    <row r="18">
      <c r="A18" s="22" t="n"/>
      <c r="E18" s="22" t="n"/>
      <c r="G18" s="22" t="n"/>
      <c r="H18" s="23" t="n"/>
    </row>
    <row r="19">
      <c r="A19" s="22" t="n"/>
      <c r="E19" s="22" t="n"/>
      <c r="G19" s="22" t="n"/>
      <c r="H19" s="23" t="n"/>
    </row>
    <row r="20">
      <c r="A20" s="22" t="n"/>
      <c r="E20" s="22" t="n"/>
      <c r="G20" s="22" t="n"/>
      <c r="H20" s="23" t="n"/>
    </row>
    <row r="21">
      <c r="A21" s="22" t="n"/>
      <c r="E21" s="22" t="n"/>
      <c r="G21" s="22" t="n"/>
      <c r="H21" s="23" t="n"/>
    </row>
    <row r="22">
      <c r="A22" s="22" t="n"/>
      <c r="E22" s="22" t="n"/>
      <c r="G22" s="22" t="n"/>
      <c r="H22" s="23" t="n"/>
    </row>
    <row r="23">
      <c r="A23" s="22" t="n"/>
      <c r="E23" s="22" t="n"/>
      <c r="G23" s="22" t="n"/>
      <c r="H23" s="23" t="n"/>
    </row>
    <row r="24">
      <c r="A24" s="22" t="n"/>
      <c r="E24" s="22" t="n"/>
      <c r="G24" s="22" t="n"/>
      <c r="H24" s="23" t="n"/>
    </row>
    <row r="25">
      <c r="A25" s="22" t="n"/>
      <c r="E25" s="22" t="n"/>
      <c r="G25" s="22" t="n"/>
      <c r="H25" s="23" t="n"/>
    </row>
    <row r="26">
      <c r="A26" s="22" t="n"/>
      <c r="E26" s="22" t="n"/>
      <c r="G26" s="22" t="n"/>
      <c r="H26" s="23" t="n"/>
    </row>
    <row r="27">
      <c r="A27" s="22" t="n"/>
      <c r="E27" s="22" t="n"/>
      <c r="G27" s="22" t="n"/>
      <c r="H27" s="23" t="n"/>
    </row>
    <row r="28">
      <c r="A28" s="22" t="n"/>
      <c r="E28" s="22" t="n"/>
      <c r="G28" s="22" t="n"/>
      <c r="H28" s="23" t="n"/>
    </row>
    <row r="29">
      <c r="A29" s="22" t="n"/>
      <c r="E29" s="22" t="n"/>
      <c r="G29" s="22" t="n"/>
      <c r="H29" s="23" t="n"/>
    </row>
    <row r="30">
      <c r="A30" s="22" t="n"/>
      <c r="E30" s="22" t="n"/>
      <c r="G30" s="22" t="n"/>
      <c r="H30" s="23" t="n"/>
    </row>
    <row r="31">
      <c r="A31" s="22" t="n"/>
      <c r="E31" s="22" t="n"/>
      <c r="G31" s="22" t="n"/>
      <c r="H31" s="23" t="n"/>
    </row>
    <row r="32">
      <c r="A32" s="22" t="n"/>
      <c r="E32" s="22" t="n"/>
      <c r="G32" s="22" t="n"/>
      <c r="H32" s="23" t="n"/>
    </row>
    <row r="33">
      <c r="A33" s="22" t="n"/>
      <c r="E33" s="22" t="n"/>
      <c r="G33" s="22" t="n"/>
      <c r="H33" s="23" t="n"/>
    </row>
    <row r="34">
      <c r="A34" s="22" t="n"/>
      <c r="E34" s="22" t="n"/>
      <c r="G34" s="22" t="n"/>
      <c r="H34" s="23" t="n"/>
    </row>
    <row r="35">
      <c r="A35" s="22" t="n"/>
      <c r="E35" s="22" t="n"/>
      <c r="G35" s="22" t="n"/>
      <c r="H35" s="23" t="n"/>
    </row>
    <row r="36">
      <c r="A36" s="22" t="n"/>
      <c r="E36" s="22" t="n"/>
      <c r="G36" s="22" t="n"/>
      <c r="H36" s="23" t="n"/>
    </row>
    <row r="37">
      <c r="A37" s="22" t="n"/>
      <c r="E37" s="22" t="n"/>
      <c r="G37" s="22" t="n"/>
      <c r="H37" s="23" t="n"/>
    </row>
    <row r="38">
      <c r="A38" s="22" t="n"/>
      <c r="E38" s="22" t="n"/>
      <c r="G38" s="22" t="n"/>
      <c r="H38" s="23" t="n"/>
    </row>
    <row r="39">
      <c r="A39" s="22" t="n"/>
      <c r="E39" s="22" t="n"/>
      <c r="G39" s="22" t="n"/>
      <c r="H39" s="23" t="n"/>
    </row>
    <row r="40">
      <c r="A40" s="22" t="n"/>
      <c r="E40" s="22" t="n"/>
      <c r="G40" s="22" t="n"/>
      <c r="H40" s="23" t="n"/>
    </row>
    <row r="41">
      <c r="A41" s="22" t="n"/>
      <c r="E41" s="22" t="n"/>
      <c r="G41" s="22" t="n"/>
      <c r="H41" s="23" t="n"/>
    </row>
    <row r="42">
      <c r="A42" s="22" t="n"/>
      <c r="E42" s="22" t="n"/>
      <c r="G42" s="22" t="n"/>
      <c r="H42" s="23" t="n"/>
    </row>
    <row r="43">
      <c r="A43" s="22" t="n"/>
      <c r="E43" s="22" t="n"/>
      <c r="G43" s="22" t="n"/>
      <c r="H43" s="23" t="n"/>
    </row>
    <row r="44">
      <c r="A44" s="22" t="n"/>
      <c r="E44" s="22" t="n"/>
      <c r="G44" s="22" t="n"/>
      <c r="H44" s="23" t="n"/>
    </row>
    <row r="45">
      <c r="A45" s="22" t="n"/>
      <c r="E45" s="22" t="n"/>
      <c r="G45" s="22" t="n"/>
      <c r="H45" s="23" t="n"/>
    </row>
    <row r="46">
      <c r="A46" s="22" t="n"/>
      <c r="E46" s="22" t="n"/>
      <c r="G46" s="22" t="n"/>
      <c r="H46" s="23" t="n"/>
    </row>
    <row r="47">
      <c r="A47" s="22" t="n"/>
      <c r="E47" s="22" t="n"/>
      <c r="G47" s="22" t="n"/>
      <c r="H47" s="23" t="n"/>
    </row>
    <row r="48">
      <c r="A48" s="22" t="n"/>
      <c r="E48" s="22" t="n"/>
      <c r="G48" s="22" t="n"/>
      <c r="H48" s="23" t="n"/>
    </row>
    <row r="49">
      <c r="A49" s="22" t="n"/>
      <c r="E49" s="22" t="n"/>
      <c r="G49" s="22" t="n"/>
      <c r="H49" s="23" t="n"/>
    </row>
    <row r="50">
      <c r="A50" s="22" t="n"/>
      <c r="E50" s="22" t="n"/>
      <c r="G50" s="22" t="n"/>
      <c r="H50" s="23" t="n"/>
    </row>
    <row r="51">
      <c r="A51" s="22" t="n"/>
      <c r="E51" s="22" t="n"/>
      <c r="G51" s="22" t="n"/>
      <c r="H51" s="23" t="n"/>
    </row>
    <row r="52">
      <c r="A52" s="22" t="n"/>
      <c r="E52" s="22" t="n"/>
      <c r="G52" s="22" t="n"/>
      <c r="H52" s="23" t="n"/>
    </row>
    <row r="53">
      <c r="A53" s="22" t="n"/>
      <c r="E53" s="22" t="n"/>
      <c r="G53" s="22" t="n"/>
      <c r="H53" s="23" t="n"/>
    </row>
    <row r="54">
      <c r="A54" s="22" t="n"/>
      <c r="E54" s="22" t="n"/>
      <c r="G54" s="22" t="n"/>
      <c r="H54" s="23" t="n"/>
    </row>
    <row r="55">
      <c r="A55" s="22" t="n"/>
      <c r="E55" s="22" t="n"/>
      <c r="G55" s="22" t="n"/>
      <c r="H55" s="23" t="n"/>
    </row>
    <row r="56">
      <c r="A56" s="22" t="n"/>
      <c r="E56" s="22" t="n"/>
      <c r="G56" s="22" t="n"/>
      <c r="H56" s="23" t="n"/>
    </row>
    <row r="57">
      <c r="A57" s="22" t="n"/>
      <c r="E57" s="22" t="n"/>
      <c r="G57" s="22" t="n"/>
      <c r="H57" s="23" t="n"/>
    </row>
    <row r="58">
      <c r="A58" s="22" t="n"/>
      <c r="E58" s="22" t="n"/>
      <c r="G58" s="22" t="n"/>
      <c r="H58" s="23" t="n"/>
    </row>
    <row r="59">
      <c r="A59" s="22" t="n"/>
      <c r="E59" s="22" t="n"/>
      <c r="G59" s="22" t="n"/>
      <c r="H59" s="23" t="n"/>
    </row>
    <row r="60">
      <c r="A60" s="22" t="n"/>
      <c r="E60" s="22" t="n"/>
      <c r="G60" s="22" t="n"/>
      <c r="H60" s="23" t="n"/>
    </row>
    <row r="61">
      <c r="A61" s="22" t="n"/>
      <c r="E61" s="22" t="n"/>
      <c r="G61" s="22" t="n"/>
      <c r="H61" s="23" t="n"/>
    </row>
    <row r="62">
      <c r="A62" s="22" t="n"/>
      <c r="E62" s="22" t="n"/>
      <c r="G62" s="22" t="n"/>
      <c r="H62" s="23" t="n"/>
    </row>
    <row r="63">
      <c r="A63" s="22" t="n"/>
      <c r="E63" s="22" t="n"/>
      <c r="G63" s="22" t="n"/>
      <c r="H63" s="23" t="n"/>
    </row>
    <row r="64">
      <c r="A64" s="22" t="n"/>
      <c r="E64" s="22" t="n"/>
      <c r="G64" s="22" t="n"/>
      <c r="H64" s="23" t="n"/>
    </row>
    <row r="65">
      <c r="A65" s="22" t="n"/>
      <c r="E65" s="22" t="n"/>
      <c r="G65" s="22" t="n"/>
      <c r="H65" s="23" t="n"/>
    </row>
    <row r="66">
      <c r="A66" s="22" t="n"/>
      <c r="E66" s="22" t="n"/>
      <c r="G66" s="22" t="n"/>
      <c r="H66" s="23" t="n"/>
    </row>
    <row r="67">
      <c r="A67" s="22" t="n"/>
      <c r="E67" s="22" t="n"/>
      <c r="G67" s="22" t="n"/>
      <c r="H67" s="23" t="n"/>
    </row>
    <row r="68">
      <c r="A68" s="22" t="n"/>
      <c r="E68" s="22" t="n"/>
      <c r="G68" s="22" t="n"/>
      <c r="H68" s="23" t="n"/>
    </row>
    <row r="69">
      <c r="A69" s="22" t="n"/>
      <c r="E69" s="22" t="n"/>
      <c r="G69" s="22" t="n"/>
      <c r="H69" s="23" t="n"/>
    </row>
    <row r="70">
      <c r="A70" s="22" t="n"/>
      <c r="E70" s="22" t="n"/>
      <c r="G70" s="22" t="n"/>
      <c r="H70" s="23" t="n"/>
    </row>
    <row r="71">
      <c r="A71" s="22" t="n"/>
      <c r="E71" s="22" t="n"/>
      <c r="G71" s="22" t="n"/>
      <c r="H71" s="23" t="n"/>
    </row>
    <row r="72">
      <c r="A72" s="22" t="n"/>
      <c r="E72" s="22" t="n"/>
      <c r="G72" s="22" t="n"/>
      <c r="H72" s="23" t="n"/>
    </row>
    <row r="73">
      <c r="A73" s="22" t="n"/>
      <c r="E73" s="22" t="n"/>
      <c r="G73" s="22" t="n"/>
      <c r="H73" s="23" t="n"/>
    </row>
    <row r="74">
      <c r="A74" s="22" t="n"/>
      <c r="E74" s="22" t="n"/>
      <c r="G74" s="22" t="n"/>
      <c r="H74" s="23" t="n"/>
    </row>
    <row r="75">
      <c r="A75" s="22" t="n"/>
      <c r="E75" s="22" t="n"/>
      <c r="G75" s="22" t="n"/>
      <c r="H75" s="23" t="n"/>
    </row>
    <row r="76">
      <c r="A76" s="22" t="n"/>
      <c r="E76" s="22" t="n"/>
      <c r="G76" s="22" t="n"/>
      <c r="H76" s="23" t="n"/>
    </row>
    <row r="77">
      <c r="A77" s="22" t="n"/>
      <c r="E77" s="22" t="n"/>
      <c r="G77" s="22" t="n"/>
      <c r="H77" s="23" t="n"/>
    </row>
    <row r="78">
      <c r="A78" s="22" t="n"/>
      <c r="E78" s="22" t="n"/>
      <c r="G78" s="22" t="n"/>
      <c r="H78" s="23" t="n"/>
    </row>
    <row r="79">
      <c r="A79" s="22" t="n"/>
      <c r="E79" s="22" t="n"/>
      <c r="G79" s="22" t="n"/>
      <c r="H79" s="23" t="n"/>
    </row>
    <row r="80">
      <c r="A80" s="22" t="n"/>
      <c r="E80" s="22" t="n"/>
      <c r="G80" s="22" t="n"/>
      <c r="H80" s="23" t="n"/>
    </row>
    <row r="81">
      <c r="A81" s="22" t="n"/>
      <c r="E81" s="22" t="n"/>
      <c r="G81" s="22" t="n"/>
      <c r="H81" s="23" t="n"/>
    </row>
    <row r="82">
      <c r="A82" s="22" t="n"/>
      <c r="E82" s="22" t="n"/>
      <c r="G82" s="22" t="n"/>
      <c r="H82" s="23" t="n"/>
    </row>
    <row r="83">
      <c r="A83" s="22" t="n"/>
      <c r="E83" s="22" t="n"/>
      <c r="G83" s="22" t="n"/>
      <c r="H83" s="23" t="n"/>
    </row>
    <row r="84">
      <c r="A84" s="22" t="n"/>
      <c r="E84" s="22" t="n"/>
      <c r="G84" s="22" t="n"/>
      <c r="H84" s="23" t="n"/>
    </row>
    <row r="85">
      <c r="A85" s="22" t="n"/>
      <c r="E85" s="22" t="n"/>
      <c r="G85" s="22" t="n"/>
      <c r="H85" s="23" t="n"/>
    </row>
    <row r="86">
      <c r="A86" s="22" t="n"/>
      <c r="E86" s="22" t="n"/>
      <c r="G86" s="22" t="n"/>
      <c r="H86" s="23" t="n"/>
    </row>
    <row r="87">
      <c r="A87" s="22" t="n"/>
      <c r="E87" s="22" t="n"/>
      <c r="G87" s="22" t="n"/>
      <c r="H87" s="23" t="n"/>
    </row>
    <row r="88">
      <c r="A88" s="22" t="n"/>
      <c r="E88" s="22" t="n"/>
      <c r="G88" s="22" t="n"/>
      <c r="H88" s="23" t="n"/>
    </row>
    <row r="89">
      <c r="A89" s="22" t="n"/>
      <c r="E89" s="22" t="n"/>
      <c r="G89" s="22" t="n"/>
      <c r="H89" s="23" t="n"/>
    </row>
    <row r="90">
      <c r="A90" s="22" t="n"/>
      <c r="E90" s="22" t="n"/>
      <c r="G90" s="22" t="n"/>
      <c r="H90" s="23" t="n"/>
    </row>
    <row r="91">
      <c r="A91" s="22" t="n"/>
      <c r="E91" s="22" t="n"/>
      <c r="G91" s="22" t="n"/>
      <c r="H91" s="23" t="n"/>
    </row>
    <row r="92">
      <c r="A92" s="22" t="n"/>
      <c r="E92" s="22" t="n"/>
      <c r="G92" s="22" t="n"/>
      <c r="H92" s="23" t="n"/>
    </row>
    <row r="93">
      <c r="A93" s="22" t="n"/>
      <c r="E93" s="22" t="n"/>
      <c r="G93" s="22" t="n"/>
      <c r="H93" s="23" t="n"/>
    </row>
    <row r="94">
      <c r="A94" s="22" t="n"/>
      <c r="E94" s="22" t="n"/>
      <c r="G94" s="22" t="n"/>
      <c r="H94" s="23" t="n"/>
    </row>
    <row r="95">
      <c r="A95" s="22" t="n"/>
      <c r="E95" s="22" t="n"/>
      <c r="G95" s="22" t="n"/>
      <c r="H95" s="23" t="n"/>
    </row>
    <row r="96">
      <c r="A96" s="22" t="n"/>
      <c r="E96" s="22" t="n"/>
      <c r="G96" s="22" t="n"/>
      <c r="H96" s="23" t="n"/>
    </row>
    <row r="97">
      <c r="A97" s="22" t="n"/>
      <c r="E97" s="22" t="n"/>
      <c r="G97" s="22" t="n"/>
      <c r="H97" s="23" t="n"/>
    </row>
    <row r="98">
      <c r="A98" s="22" t="n"/>
      <c r="E98" s="22" t="n"/>
      <c r="G98" s="22" t="n"/>
      <c r="H98" s="23" t="n"/>
    </row>
    <row r="99">
      <c r="A99" s="22" t="n"/>
      <c r="E99" s="22" t="n"/>
      <c r="G99" s="22" t="n"/>
      <c r="H99" s="23" t="n"/>
    </row>
    <row r="100">
      <c r="A100" s="22" t="n"/>
      <c r="E100" s="22" t="n"/>
      <c r="G100" s="22" t="n"/>
      <c r="H100" s="23" t="n"/>
    </row>
    <row r="101">
      <c r="A101" s="22" t="n"/>
      <c r="E101" s="22" t="n"/>
      <c r="G101" s="22" t="n"/>
      <c r="H101" s="23" t="n"/>
    </row>
    <row r="102">
      <c r="A102" s="22" t="n"/>
      <c r="E102" s="22" t="n"/>
      <c r="G102" s="22" t="n"/>
      <c r="H102" s="23" t="n"/>
    </row>
    <row r="103">
      <c r="A103" s="22" t="n"/>
      <c r="E103" s="22" t="n"/>
      <c r="G103" s="22" t="n"/>
      <c r="H103" s="23" t="n"/>
    </row>
    <row r="104">
      <c r="A104" s="22" t="n"/>
      <c r="E104" s="22" t="n"/>
      <c r="G104" s="22" t="n"/>
      <c r="H104" s="23" t="n"/>
    </row>
    <row r="105">
      <c r="A105" s="22" t="n"/>
      <c r="E105" s="22" t="n"/>
      <c r="G105" s="22" t="n"/>
      <c r="H105" s="23" t="n"/>
    </row>
    <row r="106">
      <c r="A106" s="22" t="n"/>
      <c r="E106" s="22" t="n"/>
      <c r="G106" s="22" t="n"/>
      <c r="H106" s="23" t="n"/>
    </row>
    <row r="107">
      <c r="A107" s="22" t="n"/>
      <c r="E107" s="22" t="n"/>
      <c r="G107" s="22" t="n"/>
      <c r="H107" s="23" t="n"/>
    </row>
    <row r="108">
      <c r="A108" s="22" t="n"/>
      <c r="E108" s="22" t="n"/>
      <c r="G108" s="22" t="n"/>
      <c r="H108" s="23" t="n"/>
    </row>
    <row r="109">
      <c r="A109" s="22" t="n"/>
      <c r="E109" s="22" t="n"/>
      <c r="G109" s="22" t="n"/>
      <c r="H109" s="23" t="n"/>
    </row>
    <row r="110">
      <c r="A110" s="22" t="n"/>
      <c r="E110" s="22" t="n"/>
      <c r="G110" s="22" t="n"/>
      <c r="H110" s="23" t="n"/>
    </row>
    <row r="111">
      <c r="A111" s="22" t="n"/>
      <c r="E111" s="22" t="n"/>
      <c r="G111" s="22" t="n"/>
      <c r="H111" s="23" t="n"/>
    </row>
    <row r="112">
      <c r="A112" s="22" t="n"/>
      <c r="E112" s="22" t="n"/>
      <c r="G112" s="22" t="n"/>
      <c r="H112" s="23" t="n"/>
    </row>
    <row r="113">
      <c r="A113" s="22" t="n"/>
      <c r="E113" s="22" t="n"/>
      <c r="G113" s="22" t="n"/>
      <c r="H113" s="23" t="n"/>
    </row>
    <row r="114">
      <c r="A114" s="22" t="n"/>
      <c r="E114" s="22" t="n"/>
      <c r="G114" s="22" t="n"/>
      <c r="H114" s="23" t="n"/>
    </row>
    <row r="115">
      <c r="A115" s="22" t="n"/>
      <c r="E115" s="22" t="n"/>
      <c r="G115" s="22" t="n"/>
      <c r="H115" s="23" t="n"/>
    </row>
    <row r="116">
      <c r="A116" s="22" t="n"/>
      <c r="E116" s="22" t="n"/>
      <c r="G116" s="22" t="n"/>
      <c r="H116" s="23" t="n"/>
    </row>
    <row r="117">
      <c r="A117" s="22" t="n"/>
      <c r="E117" s="22" t="n"/>
      <c r="G117" s="22" t="n"/>
      <c r="H117" s="23" t="n"/>
    </row>
    <row r="118">
      <c r="A118" s="22" t="n"/>
      <c r="E118" s="22" t="n"/>
      <c r="G118" s="22" t="n"/>
      <c r="H118" s="23" t="n"/>
    </row>
    <row r="119">
      <c r="A119" s="22" t="n"/>
      <c r="E119" s="22" t="n"/>
      <c r="G119" s="22" t="n"/>
      <c r="H119" s="23" t="n"/>
    </row>
    <row r="120">
      <c r="A120" s="22" t="n"/>
      <c r="E120" s="22" t="n"/>
      <c r="G120" s="22" t="n"/>
      <c r="H120" s="23" t="n"/>
    </row>
    <row r="121">
      <c r="A121" s="22" t="n"/>
      <c r="E121" s="22" t="n"/>
      <c r="G121" s="22" t="n"/>
      <c r="H121" s="23" t="n"/>
    </row>
    <row r="122">
      <c r="A122" s="22" t="n"/>
      <c r="E122" s="22" t="n"/>
      <c r="G122" s="22" t="n"/>
      <c r="H122" s="23" t="n"/>
    </row>
    <row r="123">
      <c r="A123" s="22" t="n"/>
      <c r="E123" s="22" t="n"/>
      <c r="G123" s="22" t="n"/>
      <c r="H123" s="23" t="n"/>
    </row>
    <row r="124">
      <c r="A124" s="22" t="n"/>
      <c r="E124" s="22" t="n"/>
      <c r="G124" s="22" t="n"/>
      <c r="H124" s="23" t="n"/>
    </row>
    <row r="125">
      <c r="A125" s="22" t="n"/>
      <c r="E125" s="22" t="n"/>
      <c r="G125" s="22" t="n"/>
      <c r="H125" s="23" t="n"/>
    </row>
    <row r="126">
      <c r="A126" s="22" t="n"/>
      <c r="E126" s="22" t="n"/>
      <c r="G126" s="22" t="n"/>
      <c r="H126" s="23" t="n"/>
    </row>
    <row r="127">
      <c r="A127" s="22" t="n"/>
      <c r="E127" s="22" t="n"/>
      <c r="G127" s="22" t="n"/>
      <c r="H127" s="23" t="n"/>
    </row>
    <row r="128">
      <c r="A128" s="22" t="n"/>
      <c r="E128" s="22" t="n"/>
      <c r="G128" s="22" t="n"/>
      <c r="H128" s="23" t="n"/>
    </row>
    <row r="129">
      <c r="A129" s="22" t="n"/>
      <c r="E129" s="22" t="n"/>
      <c r="G129" s="22" t="n"/>
      <c r="H129" s="23" t="n"/>
    </row>
    <row r="130">
      <c r="A130" s="22" t="n"/>
      <c r="E130" s="22" t="n"/>
      <c r="G130" s="22" t="n"/>
      <c r="H130" s="23" t="n"/>
    </row>
    <row r="131">
      <c r="A131" s="22" t="n"/>
      <c r="E131" s="22" t="n"/>
      <c r="G131" s="22" t="n"/>
      <c r="H131" s="23" t="n"/>
    </row>
    <row r="132">
      <c r="A132" s="22" t="n"/>
      <c r="E132" s="22" t="n"/>
      <c r="G132" s="22" t="n"/>
      <c r="H132" s="23" t="n"/>
    </row>
    <row r="133">
      <c r="A133" s="22" t="n"/>
      <c r="E133" s="22" t="n"/>
      <c r="G133" s="22" t="n"/>
      <c r="H133" s="23" t="n"/>
    </row>
    <row r="134">
      <c r="A134" s="22" t="n"/>
      <c r="E134" s="22" t="n"/>
      <c r="G134" s="22" t="n"/>
      <c r="H134" s="23" t="n"/>
    </row>
    <row r="135">
      <c r="A135" s="22" t="n"/>
      <c r="E135" s="22" t="n"/>
      <c r="G135" s="22" t="n"/>
      <c r="H135" s="23" t="n"/>
    </row>
    <row r="136">
      <c r="A136" s="22" t="n"/>
      <c r="E136" s="22" t="n"/>
      <c r="G136" s="22" t="n"/>
      <c r="H136" s="23" t="n"/>
    </row>
    <row r="137">
      <c r="A137" s="22" t="n"/>
      <c r="E137" s="22" t="n"/>
      <c r="G137" s="22" t="n"/>
      <c r="H137" s="23" t="n"/>
    </row>
    <row r="138">
      <c r="A138" s="22" t="n"/>
      <c r="E138" s="22" t="n"/>
      <c r="G138" s="22" t="n"/>
      <c r="H138" s="23" t="n"/>
    </row>
    <row r="139">
      <c r="A139" s="22" t="n"/>
      <c r="E139" s="22" t="n"/>
      <c r="G139" s="22" t="n"/>
      <c r="H139" s="23" t="n"/>
    </row>
    <row r="140">
      <c r="A140" s="22" t="n"/>
      <c r="E140" s="22" t="n"/>
      <c r="G140" s="22" t="n"/>
      <c r="H140" s="23" t="n"/>
    </row>
    <row r="141">
      <c r="A141" s="22" t="n"/>
      <c r="E141" s="22" t="n"/>
      <c r="G141" s="22" t="n"/>
      <c r="H141" s="23" t="n"/>
    </row>
    <row r="142">
      <c r="A142" s="22" t="n"/>
      <c r="E142" s="22" t="n"/>
      <c r="G142" s="22" t="n"/>
      <c r="H142" s="23" t="n"/>
    </row>
    <row r="143">
      <c r="A143" s="22" t="n"/>
      <c r="E143" s="22" t="n"/>
      <c r="G143" s="22" t="n"/>
      <c r="H143" s="23" t="n"/>
    </row>
    <row r="144">
      <c r="A144" s="22" t="n"/>
      <c r="E144" s="22" t="n"/>
      <c r="G144" s="22" t="n"/>
      <c r="H144" s="23" t="n"/>
    </row>
    <row r="145">
      <c r="A145" s="22" t="n"/>
      <c r="E145" s="22" t="n"/>
      <c r="G145" s="22" t="n"/>
      <c r="H145" s="23" t="n"/>
    </row>
    <row r="146">
      <c r="A146" s="22" t="n"/>
      <c r="E146" s="22" t="n"/>
      <c r="G146" s="22" t="n"/>
      <c r="H146" s="23" t="n"/>
    </row>
    <row r="147">
      <c r="A147" s="22" t="n"/>
      <c r="E147" s="22" t="n"/>
      <c r="G147" s="22" t="n"/>
      <c r="H147" s="23" t="n"/>
    </row>
    <row r="148">
      <c r="A148" s="22" t="n"/>
      <c r="E148" s="22" t="n"/>
      <c r="G148" s="22" t="n"/>
      <c r="H148" s="23" t="n"/>
    </row>
    <row r="149">
      <c r="A149" s="22" t="n"/>
      <c r="E149" s="22" t="n"/>
      <c r="G149" s="22" t="n"/>
      <c r="H149" s="23" t="n"/>
    </row>
    <row r="150">
      <c r="A150" s="22" t="n"/>
      <c r="E150" s="22" t="n"/>
      <c r="G150" s="22" t="n"/>
      <c r="H150" s="23" t="n"/>
    </row>
    <row r="151">
      <c r="A151" s="22" t="n"/>
      <c r="E151" s="22" t="n"/>
      <c r="G151" s="22" t="n"/>
      <c r="H151" s="23" t="n"/>
    </row>
    <row r="152">
      <c r="A152" s="22" t="n"/>
      <c r="E152" s="22" t="n"/>
      <c r="G152" s="22" t="n"/>
      <c r="H152" s="23" t="n"/>
    </row>
    <row r="153">
      <c r="A153" s="22" t="n"/>
      <c r="E153" s="22" t="n"/>
      <c r="G153" s="22" t="n"/>
      <c r="H153" s="23" t="n"/>
    </row>
    <row r="154">
      <c r="A154" s="22" t="n"/>
      <c r="E154" s="22" t="n"/>
      <c r="G154" s="22" t="n"/>
      <c r="H154" s="23" t="n"/>
    </row>
    <row r="155">
      <c r="A155" s="22" t="n"/>
      <c r="E155" s="22" t="n"/>
      <c r="G155" s="22" t="n"/>
      <c r="H155" s="23" t="n"/>
    </row>
    <row r="156">
      <c r="A156" s="22" t="n"/>
      <c r="E156" s="22" t="n"/>
      <c r="G156" s="22" t="n"/>
      <c r="H156" s="23" t="n"/>
    </row>
    <row r="157">
      <c r="A157" s="22" t="n"/>
      <c r="E157" s="22" t="n"/>
      <c r="G157" s="22" t="n"/>
      <c r="H157" s="23" t="n"/>
    </row>
    <row r="158">
      <c r="A158" s="22" t="n"/>
      <c r="E158" s="22" t="n"/>
      <c r="G158" s="22" t="n"/>
      <c r="H158" s="23" t="n"/>
    </row>
    <row r="159">
      <c r="A159" s="22" t="n"/>
      <c r="E159" s="22" t="n"/>
      <c r="G159" s="22" t="n"/>
      <c r="H159" s="23" t="n"/>
    </row>
    <row r="160">
      <c r="A160" s="22" t="n"/>
      <c r="E160" s="22" t="n"/>
      <c r="G160" s="22" t="n"/>
      <c r="H160" s="23" t="n"/>
    </row>
    <row r="161">
      <c r="A161" s="22" t="n"/>
      <c r="E161" s="22" t="n"/>
      <c r="G161" s="22" t="n"/>
      <c r="H161" s="23" t="n"/>
    </row>
    <row r="162">
      <c r="A162" s="22" t="n"/>
      <c r="E162" s="22" t="n"/>
      <c r="G162" s="22" t="n"/>
      <c r="H162" s="23" t="n"/>
    </row>
    <row r="163">
      <c r="A163" s="22" t="n"/>
      <c r="E163" s="22" t="n"/>
      <c r="G163" s="22" t="n"/>
      <c r="H163" s="23" t="n"/>
    </row>
    <row r="164">
      <c r="A164" s="22" t="n"/>
      <c r="E164" s="22" t="n"/>
      <c r="G164" s="22" t="n"/>
      <c r="H164" s="23" t="n"/>
    </row>
    <row r="165">
      <c r="A165" s="22" t="n"/>
      <c r="E165" s="22" t="n"/>
      <c r="G165" s="22" t="n"/>
      <c r="H165" s="23" t="n"/>
    </row>
    <row r="166">
      <c r="A166" s="22" t="n"/>
      <c r="E166" s="22" t="n"/>
      <c r="G166" s="22" t="n"/>
      <c r="H166" s="23" t="n"/>
    </row>
    <row r="167">
      <c r="A167" s="22" t="n"/>
      <c r="E167" s="22" t="n"/>
      <c r="G167" s="22" t="n"/>
      <c r="H167" s="23" t="n"/>
    </row>
    <row r="168">
      <c r="A168" s="22" t="n"/>
      <c r="E168" s="22" t="n"/>
      <c r="G168" s="22" t="n"/>
      <c r="H168" s="23" t="n"/>
    </row>
    <row r="169">
      <c r="A169" s="22" t="n"/>
      <c r="E169" s="22" t="n"/>
      <c r="G169" s="22" t="n"/>
      <c r="H169" s="23" t="n"/>
    </row>
    <row r="170">
      <c r="A170" s="22" t="n"/>
      <c r="E170" s="22" t="n"/>
      <c r="G170" s="22" t="n"/>
      <c r="H170" s="23" t="n"/>
    </row>
    <row r="171">
      <c r="A171" s="22" t="n"/>
      <c r="E171" s="22" t="n"/>
      <c r="G171" s="22" t="n"/>
      <c r="H171" s="23" t="n"/>
    </row>
    <row r="172">
      <c r="A172" s="22" t="n"/>
      <c r="E172" s="22" t="n"/>
      <c r="G172" s="22" t="n"/>
      <c r="H172" s="23" t="n"/>
    </row>
    <row r="173">
      <c r="A173" s="22" t="n"/>
      <c r="E173" s="22" t="n"/>
      <c r="G173" s="22" t="n"/>
      <c r="H173" s="23" t="n"/>
    </row>
    <row r="174">
      <c r="A174" s="22" t="n"/>
      <c r="E174" s="22" t="n"/>
      <c r="G174" s="22" t="n"/>
      <c r="H174" s="23" t="n"/>
    </row>
    <row r="175">
      <c r="A175" s="22" t="n"/>
      <c r="E175" s="22" t="n"/>
      <c r="G175" s="22" t="n"/>
      <c r="H175" s="23" t="n"/>
    </row>
    <row r="176">
      <c r="A176" s="22" t="n"/>
      <c r="E176" s="22" t="n"/>
      <c r="G176" s="22" t="n"/>
      <c r="H176" s="23" t="n"/>
    </row>
    <row r="177">
      <c r="A177" s="22" t="n"/>
      <c r="E177" s="22" t="n"/>
      <c r="G177" s="22" t="n"/>
      <c r="H177" s="23" t="n"/>
    </row>
    <row r="178">
      <c r="A178" s="22" t="n"/>
      <c r="E178" s="22" t="n"/>
      <c r="G178" s="22" t="n"/>
      <c r="H178" s="23" t="n"/>
    </row>
    <row r="179">
      <c r="A179" s="22" t="n"/>
      <c r="E179" s="22" t="n"/>
      <c r="G179" s="22" t="n"/>
      <c r="H179" s="23" t="n"/>
    </row>
    <row r="180">
      <c r="A180" s="22" t="n"/>
      <c r="E180" s="22" t="n"/>
      <c r="G180" s="22" t="n"/>
      <c r="H180" s="23" t="n"/>
    </row>
    <row r="181">
      <c r="A181" s="22" t="n"/>
      <c r="E181" s="22" t="n"/>
      <c r="G181" s="22" t="n"/>
      <c r="H181" s="23" t="n"/>
    </row>
    <row r="182">
      <c r="A182" s="22" t="n"/>
      <c r="E182" s="22" t="n"/>
      <c r="G182" s="22" t="n"/>
      <c r="H182" s="23" t="n"/>
    </row>
    <row r="183">
      <c r="A183" s="22" t="n"/>
      <c r="E183" s="22" t="n"/>
      <c r="G183" s="22" t="n"/>
      <c r="H183" s="23" t="n"/>
    </row>
    <row r="184">
      <c r="A184" s="22" t="n"/>
      <c r="E184" s="22" t="n"/>
      <c r="G184" s="22" t="n"/>
      <c r="H184" s="23" t="n"/>
    </row>
    <row r="185">
      <c r="A185" s="22" t="n"/>
      <c r="E185" s="22" t="n"/>
      <c r="G185" s="22" t="n"/>
      <c r="H185" s="23" t="n"/>
    </row>
    <row r="186">
      <c r="A186" s="22" t="n"/>
      <c r="E186" s="22" t="n"/>
      <c r="G186" s="22" t="n"/>
      <c r="H186" s="23" t="n"/>
    </row>
    <row r="187">
      <c r="A187" s="22" t="n"/>
      <c r="E187" s="22" t="n"/>
      <c r="G187" s="22" t="n"/>
      <c r="H187" s="23" t="n"/>
    </row>
    <row r="188">
      <c r="A188" s="22" t="n"/>
      <c r="E188" s="22" t="n"/>
      <c r="G188" s="22" t="n"/>
      <c r="H188" s="23" t="n"/>
    </row>
    <row r="189">
      <c r="A189" s="22" t="n"/>
      <c r="E189" s="22" t="n"/>
      <c r="G189" s="22" t="n"/>
      <c r="H189" s="23" t="n"/>
    </row>
    <row r="190">
      <c r="A190" s="22" t="n"/>
      <c r="E190" s="22" t="n"/>
      <c r="G190" s="22" t="n"/>
      <c r="H190" s="23" t="n"/>
    </row>
    <row r="191">
      <c r="A191" s="22" t="n"/>
      <c r="E191" s="22" t="n"/>
      <c r="G191" s="22" t="n"/>
      <c r="H191" s="23" t="n"/>
    </row>
    <row r="192">
      <c r="A192" s="22" t="n"/>
      <c r="E192" s="22" t="n"/>
      <c r="G192" s="22" t="n"/>
      <c r="H192" s="23" t="n"/>
    </row>
    <row r="193">
      <c r="A193" s="22" t="n"/>
      <c r="E193" s="22" t="n"/>
      <c r="G193" s="22" t="n"/>
      <c r="H193" s="23" t="n"/>
    </row>
    <row r="194">
      <c r="A194" s="22" t="n"/>
      <c r="E194" s="22" t="n"/>
      <c r="G194" s="22" t="n"/>
      <c r="H194" s="23" t="n"/>
    </row>
    <row r="195">
      <c r="A195" s="22" t="n"/>
      <c r="E195" s="22" t="n"/>
      <c r="G195" s="22" t="n"/>
      <c r="H195" s="23" t="n"/>
    </row>
    <row r="196">
      <c r="A196" s="22" t="n"/>
      <c r="E196" s="22" t="n"/>
      <c r="G196" s="22" t="n"/>
      <c r="H196" s="23" t="n"/>
    </row>
    <row r="197">
      <c r="A197" s="22" t="n"/>
      <c r="E197" s="22" t="n"/>
      <c r="G197" s="22" t="n"/>
      <c r="H197" s="23" t="n"/>
    </row>
    <row r="198">
      <c r="A198" s="22" t="n"/>
      <c r="E198" s="22" t="n"/>
      <c r="G198" s="22" t="n"/>
      <c r="H198" s="23" t="n"/>
    </row>
    <row r="199">
      <c r="A199" s="22" t="n"/>
      <c r="E199" s="22" t="n"/>
      <c r="G199" s="22" t="n"/>
      <c r="H199" s="23"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C199"/>
  <sheetViews>
    <sheetView zoomScale="110" workbookViewId="0">
      <pane xSplit="1" ySplit="1" topLeftCell="B2" activePane="bottomRight" state="frozen"/>
      <selection pane="topRight"/>
      <selection pane="bottomLeft"/>
      <selection pane="bottomRight" activeCell="A1" sqref="A1"/>
    </sheetView>
  </sheetViews>
  <sheetFormatPr baseColWidth="8" defaultRowHeight="15"/>
  <cols>
    <col width="17.3" customWidth="1" min="1" max="1"/>
    <col width="15.1" customWidth="1" min="2" max="2"/>
    <col width="16" customWidth="1" min="3" max="3"/>
    <col width="18.4" customWidth="1" min="4" max="4"/>
    <col width="11" customWidth="1" min="5" max="5"/>
    <col width="16.2" customWidth="1" min="6" max="6"/>
    <col width="16.2" customWidth="1" min="7" max="7"/>
    <col width="13" customWidth="1" min="8" max="8"/>
    <col width="15.1" customWidth="1" min="9" max="9"/>
    <col width="30" customWidth="1" min="10" max="10"/>
    <col width="16" customWidth="1" min="11" max="11"/>
    <col width="22.8" customWidth="1" min="12" max="12"/>
    <col width="18.4" customWidth="1" min="13" max="13"/>
    <col width="17.3" customWidth="1" min="14" max="14"/>
    <col width="9.600000000000001" customWidth="1" min="15" max="15"/>
    <col width="15" customWidth="1" min="16" max="16"/>
    <col width="17.3" customWidth="1" min="17" max="17"/>
    <col width="26.1" customWidth="1" min="18" max="18"/>
    <col width="14" customWidth="1" min="19" max="19"/>
    <col width="30" customWidth="1" min="20" max="20"/>
    <col width="22.8" customWidth="1" min="21" max="21"/>
    <col width="20.6" customWidth="1" min="22" max="22"/>
    <col width="28.3" customWidth="1" min="23" max="23"/>
    <col width="16.2" customWidth="1" min="24" max="24"/>
    <col width="16" customWidth="1" min="25" max="25"/>
    <col width="17.3" customWidth="1" min="26" max="26"/>
    <col width="18.4" customWidth="1" min="27" max="27"/>
    <col width="22.8" customWidth="1" min="28" max="28"/>
    <col width="40" customWidth="1" min="29" max="29"/>
  </cols>
  <sheetData>
    <row r="1" ht="24" customHeight="1">
      <c r="A1" s="18" t="inlineStr">
        <is>
          <t>Submission_ID</t>
        </is>
      </c>
      <c r="B1" s="18" t="inlineStr">
        <is>
          <t>Producer_ID</t>
        </is>
      </c>
      <c r="C1" s="19" t="inlineStr">
        <is>
          <t>Flock_Name</t>
        </is>
      </c>
      <c r="D1" s="18" t="inlineStr">
        <is>
          <t>Submitted_Date</t>
        </is>
      </c>
      <c r="E1" s="18" t="inlineStr">
        <is>
          <t>Breed</t>
        </is>
      </c>
      <c r="F1" s="19" t="inlineStr">
        <is>
          <t>NSIP_Animals</t>
        </is>
      </c>
      <c r="G1" s="18" t="inlineStr">
        <is>
          <t>Research_Use</t>
        </is>
      </c>
      <c r="H1" s="18" t="inlineStr">
        <is>
          <t>Signed_By</t>
        </is>
      </c>
      <c r="I1" s="18" t="inlineStr">
        <is>
          <t>Signed_Date</t>
        </is>
      </c>
      <c r="J1" s="18" t="inlineStr">
        <is>
          <t>Producer_Notes</t>
        </is>
      </c>
      <c r="K1" s="18" t="inlineStr">
        <is>
          <t>Form_File</t>
        </is>
      </c>
      <c r="L1" s="18" t="inlineStr">
        <is>
          <t>Private_Link_Token</t>
        </is>
      </c>
      <c r="M1" s="19" t="inlineStr">
        <is>
          <t>Animals_Listed</t>
        </is>
      </c>
      <c r="N1" s="19" t="inlineStr">
        <is>
          <t>TSUs_Received</t>
        </is>
      </c>
      <c r="O1" s="19" t="inlineStr">
        <is>
          <t>Photos</t>
        </is>
      </c>
      <c r="P1" s="16" t="inlineStr">
        <is>
          <t>Status</t>
        </is>
      </c>
      <c r="Q1" s="16" t="inlineStr">
        <is>
          <t>Received_Date</t>
        </is>
      </c>
      <c r="R1" s="16" t="inlineStr">
        <is>
          <t>Results_Released_Date</t>
        </is>
      </c>
      <c r="S1" s="19" t="inlineStr">
        <is>
          <t>Invoice_ID</t>
        </is>
      </c>
      <c r="T1" s="16" t="inlineStr">
        <is>
          <t>Staff_Notes</t>
        </is>
      </c>
      <c r="U1" s="16" t="inlineStr">
        <is>
          <t>Cost_Share_Program</t>
        </is>
      </c>
      <c r="V1" s="18" t="inlineStr">
        <is>
          <t>Signature_Method</t>
        </is>
      </c>
      <c r="W1" s="16" t="inlineStr">
        <is>
          <t>Research_Withdrawn_Date</t>
        </is>
      </c>
      <c r="X1" s="18" t="inlineStr">
        <is>
          <t>Drive_Folder</t>
        </is>
      </c>
      <c r="Y1" s="24" t="inlineStr">
        <is>
          <t>Results_PDF</t>
        </is>
      </c>
      <c r="Z1" s="24" t="inlineStr">
        <is>
          <t>Results_Excel</t>
        </is>
      </c>
      <c r="AA1" s="18" t="inlineStr">
        <is>
          <t>Reminders_Sent</t>
        </is>
      </c>
      <c r="AB1" s="18" t="inlineStr">
        <is>
          <t>Last_Reminder_Date</t>
        </is>
      </c>
      <c r="AC1" s="18" t="inlineStr">
        <is>
          <t>Contact_On_Form</t>
        </is>
      </c>
    </row>
    <row r="2">
      <c r="A2" s="20" t="inlineStr">
        <is>
          <t>P002-01</t>
        </is>
      </c>
      <c r="B2" s="20" t="inlineStr">
        <is>
          <t>P002</t>
        </is>
      </c>
      <c r="C2" s="17">
        <f>IFERROR(INDEX(Producers!B:B,MATCH(B2,Producers!A:A,0))&amp;"","")</f>
        <v/>
      </c>
      <c r="D2" s="21" t="n">
        <v>46296</v>
      </c>
      <c r="E2" s="17" t="inlineStr">
        <is>
          <t>Hampshire</t>
        </is>
      </c>
      <c r="F2" s="17">
        <f>COUNTIFS(Animals!B:B,A2,Animals!E:E,"&lt;&gt;")</f>
        <v/>
      </c>
      <c r="G2" s="17" t="inlineStr">
        <is>
          <t>Y</t>
        </is>
      </c>
      <c r="H2" s="17" t="inlineStr">
        <is>
          <t>Pat Nolan</t>
        </is>
      </c>
      <c r="I2" s="21" t="n">
        <v>46296</v>
      </c>
      <c r="J2" s="17" t="inlineStr"/>
      <c r="K2" s="17" t="inlineStr">
        <is>
          <t>[Drive link]</t>
        </is>
      </c>
      <c r="L2" s="20" t="inlineStr">
        <is>
          <t>k7Qm2xR9vTp4</t>
        </is>
      </c>
      <c r="M2" s="17">
        <f>COUNTIF(Animals!B:B,A2)</f>
        <v/>
      </c>
      <c r="N2" s="17">
        <f>COUNTIFS(Animals!B:B,A2,Animals!N:N,"Y")</f>
        <v/>
      </c>
      <c r="O2" s="17">
        <f>COUNTIF(Photos!B:B,A2)</f>
        <v/>
      </c>
      <c r="P2" s="17" t="inlineStr">
        <is>
          <t>At lab</t>
        </is>
      </c>
      <c r="Q2" s="21" t="n">
        <v>46298</v>
      </c>
      <c r="R2" s="21" t="n"/>
      <c r="S2" s="17">
        <f>IF(Q2="","","INV-"&amp;A2)</f>
        <v/>
      </c>
      <c r="T2" s="17" t="inlineStr"/>
      <c r="U2" s="17" t="inlineStr">
        <is>
          <t>CS01</t>
        </is>
      </c>
      <c r="V2" s="17" t="inlineStr">
        <is>
          <t>Paper</t>
        </is>
      </c>
      <c r="W2" s="21" t="n"/>
      <c r="X2" s="17" t="inlineStr">
        <is>
          <t>[Drive link]</t>
        </is>
      </c>
      <c r="Y2" s="17" t="inlineStr"/>
      <c r="Z2" s="17" t="inlineStr"/>
      <c r="AA2" s="17" t="n">
        <v>0</v>
      </c>
      <c r="AB2" s="21" t="n"/>
      <c r="AC2" s="17" t="inlineStr"/>
    </row>
    <row r="3">
      <c r="A3" s="20" t="inlineStr">
        <is>
          <t>P003-01</t>
        </is>
      </c>
      <c r="B3" s="20" t="inlineStr">
        <is>
          <t>P003</t>
        </is>
      </c>
      <c r="C3" s="17">
        <f>IFERROR(INDEX(Producers!B:B,MATCH(B3,Producers!A:A,0))&amp;"","")</f>
        <v/>
      </c>
      <c r="D3" s="21" t="n">
        <v>46296</v>
      </c>
      <c r="E3" s="17" t="inlineStr">
        <is>
          <t>Targhee</t>
        </is>
      </c>
      <c r="F3" s="17">
        <f>COUNTIFS(Animals!B:B,A3,Animals!E:E,"&lt;&gt;")</f>
        <v/>
      </c>
      <c r="G3" s="17" t="inlineStr">
        <is>
          <t>Y</t>
        </is>
      </c>
      <c r="H3" s="17" t="inlineStr">
        <is>
          <t>Jane Smith</t>
        </is>
      </c>
      <c r="I3" s="21" t="n">
        <v>46296</v>
      </c>
      <c r="J3" s="17" t="inlineStr">
        <is>
          <t>Please check parentage against 23015.</t>
        </is>
      </c>
      <c r="K3" s="17" t="inlineStr">
        <is>
          <t>[Drive link]</t>
        </is>
      </c>
      <c r="L3" s="20" t="inlineStr">
        <is>
          <t>a3Fh8LwZ0qNe</t>
        </is>
      </c>
      <c r="M3" s="17">
        <f>COUNTIF(Animals!B:B,A3)</f>
        <v/>
      </c>
      <c r="N3" s="17">
        <f>COUNTIFS(Animals!B:B,A3,Animals!N:N,"Y")</f>
        <v/>
      </c>
      <c r="O3" s="17">
        <f>COUNTIF(Photos!B:B,A3)</f>
        <v/>
      </c>
      <c r="P3" s="17" t="inlineStr">
        <is>
          <t>Results released</t>
        </is>
      </c>
      <c r="Q3" s="21" t="n">
        <v>46301</v>
      </c>
      <c r="R3" s="21" t="n">
        <v>46323</v>
      </c>
      <c r="S3" s="17">
        <f>IF(Q3="","","INV-"&amp;A3)</f>
        <v/>
      </c>
      <c r="T3" s="17" t="inlineStr"/>
      <c r="U3" s="17" t="inlineStr"/>
      <c r="V3" s="17" t="inlineStr">
        <is>
          <t>Online</t>
        </is>
      </c>
      <c r="W3" s="21" t="n"/>
      <c r="X3" s="17" t="inlineStr">
        <is>
          <t>[Drive link]</t>
        </is>
      </c>
      <c r="Y3" s="17" t="inlineStr"/>
      <c r="Z3" s="17" t="inlineStr"/>
      <c r="AA3" s="17" t="n">
        <v>0</v>
      </c>
      <c r="AB3" s="21" t="n"/>
      <c r="AC3" s="17" t="inlineStr"/>
    </row>
    <row r="4">
      <c r="A4" s="20" t="inlineStr">
        <is>
          <t>P004-01</t>
        </is>
      </c>
      <c r="B4" s="20" t="inlineStr">
        <is>
          <t>P004</t>
        </is>
      </c>
      <c r="C4" s="17">
        <f>IFERROR(INDEX(Producers!B:B,MATCH(B4,Producers!A:A,0))&amp;"","")</f>
        <v/>
      </c>
      <c r="D4" s="21" t="n">
        <v>46296</v>
      </c>
      <c r="E4" s="17" t="inlineStr">
        <is>
          <t>Columbia</t>
        </is>
      </c>
      <c r="F4" s="17">
        <f>COUNTIFS(Animals!B:B,A4,Animals!E:E,"&lt;&gt;")</f>
        <v/>
      </c>
      <c r="G4" s="17" t="inlineStr">
        <is>
          <t>Y</t>
        </is>
      </c>
      <c r="H4" s="17" t="inlineStr">
        <is>
          <t>Bob Jones</t>
        </is>
      </c>
      <c r="I4" s="21" t="n">
        <v>46296</v>
      </c>
      <c r="J4" s="17" t="inlineStr"/>
      <c r="K4" s="17" t="inlineStr">
        <is>
          <t>[Drive link]</t>
        </is>
      </c>
      <c r="L4" s="20" t="inlineStr">
        <is>
          <t>Xc5bT1uJ6sDy</t>
        </is>
      </c>
      <c r="M4" s="17">
        <f>COUNTIF(Animals!B:B,A4)</f>
        <v/>
      </c>
      <c r="N4" s="17">
        <f>COUNTIFS(Animals!B:B,A4,Animals!N:N,"Y")</f>
        <v/>
      </c>
      <c r="O4" s="17">
        <f>COUNTIF(Photos!B:B,A4)</f>
        <v/>
      </c>
      <c r="P4" s="17" t="inlineStr">
        <is>
          <t>Submitted</t>
        </is>
      </c>
      <c r="Q4" s="21" t="n"/>
      <c r="R4" s="21" t="n"/>
      <c r="S4" s="17">
        <f>IF(Q4="","","INV-"&amp;A4)</f>
        <v/>
      </c>
      <c r="T4" s="17" t="inlineStr"/>
      <c r="U4" s="17" t="inlineStr"/>
      <c r="V4" s="17" t="inlineStr">
        <is>
          <t>Online</t>
        </is>
      </c>
      <c r="W4" s="21" t="n"/>
      <c r="X4" s="17" t="inlineStr">
        <is>
          <t>[Drive link]</t>
        </is>
      </c>
      <c r="Y4" s="17" t="inlineStr"/>
      <c r="Z4" s="17" t="inlineStr"/>
      <c r="AA4" s="17" t="n">
        <v>0</v>
      </c>
      <c r="AB4" s="21" t="n"/>
      <c r="AC4" s="17" t="inlineStr"/>
    </row>
    <row r="5">
      <c r="A5" s="22" t="n"/>
      <c r="B5" s="22" t="n"/>
      <c r="D5" s="23" t="n"/>
      <c r="I5" s="23" t="n"/>
      <c r="L5" s="22" t="n"/>
      <c r="Q5" s="23" t="n"/>
      <c r="R5" s="23" t="n"/>
      <c r="W5" s="23" t="n"/>
      <c r="AB5" s="23" t="n"/>
    </row>
    <row r="6">
      <c r="A6" s="22" t="n"/>
      <c r="B6" s="22" t="n"/>
      <c r="D6" s="23" t="n"/>
      <c r="I6" s="23" t="n"/>
      <c r="L6" s="22" t="n"/>
      <c r="Q6" s="23" t="n"/>
      <c r="R6" s="23" t="n"/>
      <c r="W6" s="23" t="n"/>
      <c r="AB6" s="23" t="n"/>
    </row>
    <row r="7">
      <c r="A7" s="22" t="n"/>
      <c r="B7" s="22" t="n"/>
      <c r="D7" s="23" t="n"/>
      <c r="I7" s="23" t="n"/>
      <c r="L7" s="22" t="n"/>
      <c r="Q7" s="23" t="n"/>
      <c r="R7" s="23" t="n"/>
      <c r="W7" s="23" t="n"/>
      <c r="AB7" s="23" t="n"/>
    </row>
    <row r="8">
      <c r="A8" s="22" t="n"/>
      <c r="B8" s="22" t="n"/>
      <c r="D8" s="23" t="n"/>
      <c r="I8" s="23" t="n"/>
      <c r="L8" s="22" t="n"/>
      <c r="Q8" s="23" t="n"/>
      <c r="R8" s="23" t="n"/>
      <c r="W8" s="23" t="n"/>
      <c r="AB8" s="23" t="n"/>
    </row>
    <row r="9">
      <c r="A9" s="22" t="n"/>
      <c r="B9" s="22" t="n"/>
      <c r="D9" s="23" t="n"/>
      <c r="I9" s="23" t="n"/>
      <c r="L9" s="22" t="n"/>
      <c r="Q9" s="23" t="n"/>
      <c r="R9" s="23" t="n"/>
      <c r="W9" s="23" t="n"/>
      <c r="AB9" s="23" t="n"/>
    </row>
    <row r="10">
      <c r="A10" s="22" t="n"/>
      <c r="B10" s="22" t="n"/>
      <c r="D10" s="23" t="n"/>
      <c r="I10" s="23" t="n"/>
      <c r="L10" s="22" t="n"/>
      <c r="Q10" s="23" t="n"/>
      <c r="R10" s="23" t="n"/>
      <c r="W10" s="23" t="n"/>
      <c r="AB10" s="23" t="n"/>
    </row>
    <row r="11">
      <c r="A11" s="22" t="n"/>
      <c r="B11" s="22" t="n"/>
      <c r="D11" s="23" t="n"/>
      <c r="I11" s="23" t="n"/>
      <c r="L11" s="22" t="n"/>
      <c r="Q11" s="23" t="n"/>
      <c r="R11" s="23" t="n"/>
      <c r="W11" s="23" t="n"/>
      <c r="AB11" s="23" t="n"/>
    </row>
    <row r="12">
      <c r="A12" s="22" t="n"/>
      <c r="B12" s="22" t="n"/>
      <c r="D12" s="23" t="n"/>
      <c r="I12" s="23" t="n"/>
      <c r="L12" s="22" t="n"/>
      <c r="Q12" s="23" t="n"/>
      <c r="R12" s="23" t="n"/>
      <c r="W12" s="23" t="n"/>
      <c r="AB12" s="23" t="n"/>
    </row>
    <row r="13">
      <c r="A13" s="22" t="n"/>
      <c r="B13" s="22" t="n"/>
      <c r="D13" s="23" t="n"/>
      <c r="I13" s="23" t="n"/>
      <c r="L13" s="22" t="n"/>
      <c r="Q13" s="23" t="n"/>
      <c r="R13" s="23" t="n"/>
      <c r="W13" s="23" t="n"/>
      <c r="AB13" s="23" t="n"/>
    </row>
    <row r="14">
      <c r="A14" s="22" t="n"/>
      <c r="B14" s="22" t="n"/>
      <c r="D14" s="23" t="n"/>
      <c r="I14" s="23" t="n"/>
      <c r="L14" s="22" t="n"/>
      <c r="Q14" s="23" t="n"/>
      <c r="R14" s="23" t="n"/>
      <c r="W14" s="23" t="n"/>
      <c r="AB14" s="23" t="n"/>
    </row>
    <row r="15">
      <c r="A15" s="22" t="n"/>
      <c r="B15" s="22" t="n"/>
      <c r="D15" s="23" t="n"/>
      <c r="I15" s="23" t="n"/>
      <c r="L15" s="22" t="n"/>
      <c r="Q15" s="23" t="n"/>
      <c r="R15" s="23" t="n"/>
      <c r="W15" s="23" t="n"/>
      <c r="AB15" s="23" t="n"/>
    </row>
    <row r="16">
      <c r="A16" s="22" t="n"/>
      <c r="B16" s="22" t="n"/>
      <c r="D16" s="23" t="n"/>
      <c r="I16" s="23" t="n"/>
      <c r="L16" s="22" t="n"/>
      <c r="Q16" s="23" t="n"/>
      <c r="R16" s="23" t="n"/>
      <c r="W16" s="23" t="n"/>
      <c r="AB16" s="23" t="n"/>
    </row>
    <row r="17">
      <c r="A17" s="22" t="n"/>
      <c r="B17" s="22" t="n"/>
      <c r="D17" s="23" t="n"/>
      <c r="I17" s="23" t="n"/>
      <c r="L17" s="22" t="n"/>
      <c r="Q17" s="23" t="n"/>
      <c r="R17" s="23" t="n"/>
      <c r="W17" s="23" t="n"/>
      <c r="AB17" s="23" t="n"/>
    </row>
    <row r="18">
      <c r="A18" s="22" t="n"/>
      <c r="B18" s="22" t="n"/>
      <c r="D18" s="23" t="n"/>
      <c r="I18" s="23" t="n"/>
      <c r="L18" s="22" t="n"/>
      <c r="Q18" s="23" t="n"/>
      <c r="R18" s="23" t="n"/>
      <c r="W18" s="23" t="n"/>
      <c r="AB18" s="23" t="n"/>
    </row>
    <row r="19">
      <c r="A19" s="22" t="n"/>
      <c r="B19" s="22" t="n"/>
      <c r="D19" s="23" t="n"/>
      <c r="I19" s="23" t="n"/>
      <c r="L19" s="22" t="n"/>
      <c r="Q19" s="23" t="n"/>
      <c r="R19" s="23" t="n"/>
      <c r="W19" s="23" t="n"/>
      <c r="AB19" s="23" t="n"/>
    </row>
    <row r="20">
      <c r="A20" s="22" t="n"/>
      <c r="B20" s="22" t="n"/>
      <c r="D20" s="23" t="n"/>
      <c r="I20" s="23" t="n"/>
      <c r="L20" s="22" t="n"/>
      <c r="Q20" s="23" t="n"/>
      <c r="R20" s="23" t="n"/>
      <c r="W20" s="23" t="n"/>
      <c r="AB20" s="23" t="n"/>
    </row>
    <row r="21">
      <c r="A21" s="22" t="n"/>
      <c r="B21" s="22" t="n"/>
      <c r="D21" s="23" t="n"/>
      <c r="I21" s="23" t="n"/>
      <c r="L21" s="22" t="n"/>
      <c r="Q21" s="23" t="n"/>
      <c r="R21" s="23" t="n"/>
      <c r="W21" s="23" t="n"/>
      <c r="AB21" s="23" t="n"/>
    </row>
    <row r="22">
      <c r="A22" s="22" t="n"/>
      <c r="B22" s="22" t="n"/>
      <c r="D22" s="23" t="n"/>
      <c r="I22" s="23" t="n"/>
      <c r="L22" s="22" t="n"/>
      <c r="Q22" s="23" t="n"/>
      <c r="R22" s="23" t="n"/>
      <c r="W22" s="23" t="n"/>
      <c r="AB22" s="23" t="n"/>
    </row>
    <row r="23">
      <c r="A23" s="22" t="n"/>
      <c r="B23" s="22" t="n"/>
      <c r="D23" s="23" t="n"/>
      <c r="I23" s="23" t="n"/>
      <c r="L23" s="22" t="n"/>
      <c r="Q23" s="23" t="n"/>
      <c r="R23" s="23" t="n"/>
      <c r="W23" s="23" t="n"/>
      <c r="AB23" s="23" t="n"/>
    </row>
    <row r="24">
      <c r="A24" s="22" t="n"/>
      <c r="B24" s="22" t="n"/>
      <c r="D24" s="23" t="n"/>
      <c r="I24" s="23" t="n"/>
      <c r="L24" s="22" t="n"/>
      <c r="Q24" s="23" t="n"/>
      <c r="R24" s="23" t="n"/>
      <c r="W24" s="23" t="n"/>
      <c r="AB24" s="23" t="n"/>
    </row>
    <row r="25">
      <c r="A25" s="22" t="n"/>
      <c r="B25" s="22" t="n"/>
      <c r="D25" s="23" t="n"/>
      <c r="I25" s="23" t="n"/>
      <c r="L25" s="22" t="n"/>
      <c r="Q25" s="23" t="n"/>
      <c r="R25" s="23" t="n"/>
      <c r="W25" s="23" t="n"/>
      <c r="AB25" s="23" t="n"/>
    </row>
    <row r="26">
      <c r="A26" s="22" t="n"/>
      <c r="B26" s="22" t="n"/>
      <c r="D26" s="23" t="n"/>
      <c r="I26" s="23" t="n"/>
      <c r="L26" s="22" t="n"/>
      <c r="Q26" s="23" t="n"/>
      <c r="R26" s="23" t="n"/>
      <c r="W26" s="23" t="n"/>
      <c r="AB26" s="23" t="n"/>
    </row>
    <row r="27">
      <c r="A27" s="22" t="n"/>
      <c r="B27" s="22" t="n"/>
      <c r="D27" s="23" t="n"/>
      <c r="I27" s="23" t="n"/>
      <c r="L27" s="22" t="n"/>
      <c r="Q27" s="23" t="n"/>
      <c r="R27" s="23" t="n"/>
      <c r="W27" s="23" t="n"/>
      <c r="AB27" s="23" t="n"/>
    </row>
    <row r="28">
      <c r="A28" s="22" t="n"/>
      <c r="B28" s="22" t="n"/>
      <c r="D28" s="23" t="n"/>
      <c r="I28" s="23" t="n"/>
      <c r="L28" s="22" t="n"/>
      <c r="Q28" s="23" t="n"/>
      <c r="R28" s="23" t="n"/>
      <c r="W28" s="23" t="n"/>
      <c r="AB28" s="23" t="n"/>
    </row>
    <row r="29">
      <c r="A29" s="22" t="n"/>
      <c r="B29" s="22" t="n"/>
      <c r="D29" s="23" t="n"/>
      <c r="I29" s="23" t="n"/>
      <c r="L29" s="22" t="n"/>
      <c r="Q29" s="23" t="n"/>
      <c r="R29" s="23" t="n"/>
      <c r="W29" s="23" t="n"/>
      <c r="AB29" s="23" t="n"/>
    </row>
    <row r="30">
      <c r="A30" s="22" t="n"/>
      <c r="B30" s="22" t="n"/>
      <c r="D30" s="23" t="n"/>
      <c r="I30" s="23" t="n"/>
      <c r="L30" s="22" t="n"/>
      <c r="Q30" s="23" t="n"/>
      <c r="R30" s="23" t="n"/>
      <c r="W30" s="23" t="n"/>
      <c r="AB30" s="23" t="n"/>
    </row>
    <row r="31">
      <c r="A31" s="22" t="n"/>
      <c r="B31" s="22" t="n"/>
      <c r="D31" s="23" t="n"/>
      <c r="I31" s="23" t="n"/>
      <c r="L31" s="22" t="n"/>
      <c r="Q31" s="23" t="n"/>
      <c r="R31" s="23" t="n"/>
      <c r="W31" s="23" t="n"/>
      <c r="AB31" s="23" t="n"/>
    </row>
    <row r="32">
      <c r="A32" s="22" t="n"/>
      <c r="B32" s="22" t="n"/>
      <c r="D32" s="23" t="n"/>
      <c r="I32" s="23" t="n"/>
      <c r="L32" s="22" t="n"/>
      <c r="Q32" s="23" t="n"/>
      <c r="R32" s="23" t="n"/>
      <c r="W32" s="23" t="n"/>
      <c r="AB32" s="23" t="n"/>
    </row>
    <row r="33">
      <c r="A33" s="22" t="n"/>
      <c r="B33" s="22" t="n"/>
      <c r="D33" s="23" t="n"/>
      <c r="I33" s="23" t="n"/>
      <c r="L33" s="22" t="n"/>
      <c r="Q33" s="23" t="n"/>
      <c r="R33" s="23" t="n"/>
      <c r="W33" s="23" t="n"/>
      <c r="AB33" s="23" t="n"/>
    </row>
    <row r="34">
      <c r="A34" s="22" t="n"/>
      <c r="B34" s="22" t="n"/>
      <c r="D34" s="23" t="n"/>
      <c r="I34" s="23" t="n"/>
      <c r="L34" s="22" t="n"/>
      <c r="Q34" s="23" t="n"/>
      <c r="R34" s="23" t="n"/>
      <c r="W34" s="23" t="n"/>
      <c r="AB34" s="23" t="n"/>
    </row>
    <row r="35">
      <c r="A35" s="22" t="n"/>
      <c r="B35" s="22" t="n"/>
      <c r="D35" s="23" t="n"/>
      <c r="I35" s="23" t="n"/>
      <c r="L35" s="22" t="n"/>
      <c r="Q35" s="23" t="n"/>
      <c r="R35" s="23" t="n"/>
      <c r="W35" s="23" t="n"/>
      <c r="AB35" s="23" t="n"/>
    </row>
    <row r="36">
      <c r="A36" s="22" t="n"/>
      <c r="B36" s="22" t="n"/>
      <c r="D36" s="23" t="n"/>
      <c r="I36" s="23" t="n"/>
      <c r="L36" s="22" t="n"/>
      <c r="Q36" s="23" t="n"/>
      <c r="R36" s="23" t="n"/>
      <c r="W36" s="23" t="n"/>
      <c r="AB36" s="23" t="n"/>
    </row>
    <row r="37">
      <c r="A37" s="22" t="n"/>
      <c r="B37" s="22" t="n"/>
      <c r="D37" s="23" t="n"/>
      <c r="I37" s="23" t="n"/>
      <c r="L37" s="22" t="n"/>
      <c r="Q37" s="23" t="n"/>
      <c r="R37" s="23" t="n"/>
      <c r="W37" s="23" t="n"/>
      <c r="AB37" s="23" t="n"/>
    </row>
    <row r="38">
      <c r="A38" s="22" t="n"/>
      <c r="B38" s="22" t="n"/>
      <c r="D38" s="23" t="n"/>
      <c r="I38" s="23" t="n"/>
      <c r="L38" s="22" t="n"/>
      <c r="Q38" s="23" t="n"/>
      <c r="R38" s="23" t="n"/>
      <c r="W38" s="23" t="n"/>
      <c r="AB38" s="23" t="n"/>
    </row>
    <row r="39">
      <c r="A39" s="22" t="n"/>
      <c r="B39" s="22" t="n"/>
      <c r="D39" s="23" t="n"/>
      <c r="I39" s="23" t="n"/>
      <c r="L39" s="22" t="n"/>
      <c r="Q39" s="23" t="n"/>
      <c r="R39" s="23" t="n"/>
      <c r="W39" s="23" t="n"/>
      <c r="AB39" s="23" t="n"/>
    </row>
    <row r="40">
      <c r="A40" s="22" t="n"/>
      <c r="B40" s="22" t="n"/>
      <c r="D40" s="23" t="n"/>
      <c r="I40" s="23" t="n"/>
      <c r="L40" s="22" t="n"/>
      <c r="Q40" s="23" t="n"/>
      <c r="R40" s="23" t="n"/>
      <c r="W40" s="23" t="n"/>
      <c r="AB40" s="23" t="n"/>
    </row>
    <row r="41">
      <c r="A41" s="22" t="n"/>
      <c r="B41" s="22" t="n"/>
      <c r="D41" s="23" t="n"/>
      <c r="I41" s="23" t="n"/>
      <c r="L41" s="22" t="n"/>
      <c r="Q41" s="23" t="n"/>
      <c r="R41" s="23" t="n"/>
      <c r="W41" s="23" t="n"/>
      <c r="AB41" s="23" t="n"/>
    </row>
    <row r="42">
      <c r="A42" s="22" t="n"/>
      <c r="B42" s="22" t="n"/>
      <c r="D42" s="23" t="n"/>
      <c r="I42" s="23" t="n"/>
      <c r="L42" s="22" t="n"/>
      <c r="Q42" s="23" t="n"/>
      <c r="R42" s="23" t="n"/>
      <c r="W42" s="23" t="n"/>
      <c r="AB42" s="23" t="n"/>
    </row>
    <row r="43">
      <c r="A43" s="22" t="n"/>
      <c r="B43" s="22" t="n"/>
      <c r="D43" s="23" t="n"/>
      <c r="I43" s="23" t="n"/>
      <c r="L43" s="22" t="n"/>
      <c r="Q43" s="23" t="n"/>
      <c r="R43" s="23" t="n"/>
      <c r="W43" s="23" t="n"/>
      <c r="AB43" s="23" t="n"/>
    </row>
    <row r="44">
      <c r="A44" s="22" t="n"/>
      <c r="B44" s="22" t="n"/>
      <c r="D44" s="23" t="n"/>
      <c r="I44" s="23" t="n"/>
      <c r="L44" s="22" t="n"/>
      <c r="Q44" s="23" t="n"/>
      <c r="R44" s="23" t="n"/>
      <c r="W44" s="23" t="n"/>
      <c r="AB44" s="23" t="n"/>
    </row>
    <row r="45">
      <c r="A45" s="22" t="n"/>
      <c r="B45" s="22" t="n"/>
      <c r="D45" s="23" t="n"/>
      <c r="I45" s="23" t="n"/>
      <c r="L45" s="22" t="n"/>
      <c r="Q45" s="23" t="n"/>
      <c r="R45" s="23" t="n"/>
      <c r="W45" s="23" t="n"/>
      <c r="AB45" s="23" t="n"/>
    </row>
    <row r="46">
      <c r="A46" s="22" t="n"/>
      <c r="B46" s="22" t="n"/>
      <c r="D46" s="23" t="n"/>
      <c r="I46" s="23" t="n"/>
      <c r="L46" s="22" t="n"/>
      <c r="Q46" s="23" t="n"/>
      <c r="R46" s="23" t="n"/>
      <c r="W46" s="23" t="n"/>
      <c r="AB46" s="23" t="n"/>
    </row>
    <row r="47">
      <c r="A47" s="22" t="n"/>
      <c r="B47" s="22" t="n"/>
      <c r="D47" s="23" t="n"/>
      <c r="I47" s="23" t="n"/>
      <c r="L47" s="22" t="n"/>
      <c r="Q47" s="23" t="n"/>
      <c r="R47" s="23" t="n"/>
      <c r="W47" s="23" t="n"/>
      <c r="AB47" s="23" t="n"/>
    </row>
    <row r="48">
      <c r="A48" s="22" t="n"/>
      <c r="B48" s="22" t="n"/>
      <c r="D48" s="23" t="n"/>
      <c r="I48" s="23" t="n"/>
      <c r="L48" s="22" t="n"/>
      <c r="Q48" s="23" t="n"/>
      <c r="R48" s="23" t="n"/>
      <c r="W48" s="23" t="n"/>
      <c r="AB48" s="23" t="n"/>
    </row>
    <row r="49">
      <c r="A49" s="22" t="n"/>
      <c r="B49" s="22" t="n"/>
      <c r="D49" s="23" t="n"/>
      <c r="I49" s="23" t="n"/>
      <c r="L49" s="22" t="n"/>
      <c r="Q49" s="23" t="n"/>
      <c r="R49" s="23" t="n"/>
      <c r="W49" s="23" t="n"/>
      <c r="AB49" s="23" t="n"/>
    </row>
    <row r="50">
      <c r="A50" s="22" t="n"/>
      <c r="B50" s="22" t="n"/>
      <c r="D50" s="23" t="n"/>
      <c r="I50" s="23" t="n"/>
      <c r="L50" s="22" t="n"/>
      <c r="Q50" s="23" t="n"/>
      <c r="R50" s="23" t="n"/>
      <c r="W50" s="23" t="n"/>
      <c r="AB50" s="23" t="n"/>
    </row>
    <row r="51">
      <c r="A51" s="22" t="n"/>
      <c r="B51" s="22" t="n"/>
      <c r="D51" s="23" t="n"/>
      <c r="I51" s="23" t="n"/>
      <c r="L51" s="22" t="n"/>
      <c r="Q51" s="23" t="n"/>
      <c r="R51" s="23" t="n"/>
      <c r="W51" s="23" t="n"/>
      <c r="AB51" s="23" t="n"/>
    </row>
    <row r="52">
      <c r="A52" s="22" t="n"/>
      <c r="B52" s="22" t="n"/>
      <c r="D52" s="23" t="n"/>
      <c r="I52" s="23" t="n"/>
      <c r="L52" s="22" t="n"/>
      <c r="Q52" s="23" t="n"/>
      <c r="R52" s="23" t="n"/>
      <c r="W52" s="23" t="n"/>
      <c r="AB52" s="23" t="n"/>
    </row>
    <row r="53">
      <c r="A53" s="22" t="n"/>
      <c r="B53" s="22" t="n"/>
      <c r="D53" s="23" t="n"/>
      <c r="I53" s="23" t="n"/>
      <c r="L53" s="22" t="n"/>
      <c r="Q53" s="23" t="n"/>
      <c r="R53" s="23" t="n"/>
      <c r="W53" s="23" t="n"/>
      <c r="AB53" s="23" t="n"/>
    </row>
    <row r="54">
      <c r="A54" s="22" t="n"/>
      <c r="B54" s="22" t="n"/>
      <c r="D54" s="23" t="n"/>
      <c r="I54" s="23" t="n"/>
      <c r="L54" s="22" t="n"/>
      <c r="Q54" s="23" t="n"/>
      <c r="R54" s="23" t="n"/>
      <c r="W54" s="23" t="n"/>
      <c r="AB54" s="23" t="n"/>
    </row>
    <row r="55">
      <c r="A55" s="22" t="n"/>
      <c r="B55" s="22" t="n"/>
      <c r="D55" s="23" t="n"/>
      <c r="I55" s="23" t="n"/>
      <c r="L55" s="22" t="n"/>
      <c r="Q55" s="23" t="n"/>
      <c r="R55" s="23" t="n"/>
      <c r="W55" s="23" t="n"/>
      <c r="AB55" s="23" t="n"/>
    </row>
    <row r="56">
      <c r="A56" s="22" t="n"/>
      <c r="B56" s="22" t="n"/>
      <c r="D56" s="23" t="n"/>
      <c r="I56" s="23" t="n"/>
      <c r="L56" s="22" t="n"/>
      <c r="Q56" s="23" t="n"/>
      <c r="R56" s="23" t="n"/>
      <c r="W56" s="23" t="n"/>
      <c r="AB56" s="23" t="n"/>
    </row>
    <row r="57">
      <c r="A57" s="22" t="n"/>
      <c r="B57" s="22" t="n"/>
      <c r="D57" s="23" t="n"/>
      <c r="I57" s="23" t="n"/>
      <c r="L57" s="22" t="n"/>
      <c r="Q57" s="23" t="n"/>
      <c r="R57" s="23" t="n"/>
      <c r="W57" s="23" t="n"/>
      <c r="AB57" s="23" t="n"/>
    </row>
    <row r="58">
      <c r="A58" s="22" t="n"/>
      <c r="B58" s="22" t="n"/>
      <c r="D58" s="23" t="n"/>
      <c r="I58" s="23" t="n"/>
      <c r="L58" s="22" t="n"/>
      <c r="Q58" s="23" t="n"/>
      <c r="R58" s="23" t="n"/>
      <c r="W58" s="23" t="n"/>
      <c r="AB58" s="23" t="n"/>
    </row>
    <row r="59">
      <c r="A59" s="22" t="n"/>
      <c r="B59" s="22" t="n"/>
      <c r="D59" s="23" t="n"/>
      <c r="I59" s="23" t="n"/>
      <c r="L59" s="22" t="n"/>
      <c r="Q59" s="23" t="n"/>
      <c r="R59" s="23" t="n"/>
      <c r="W59" s="23" t="n"/>
      <c r="AB59" s="23" t="n"/>
    </row>
    <row r="60">
      <c r="A60" s="22" t="n"/>
      <c r="B60" s="22" t="n"/>
      <c r="D60" s="23" t="n"/>
      <c r="I60" s="23" t="n"/>
      <c r="L60" s="22" t="n"/>
      <c r="Q60" s="23" t="n"/>
      <c r="R60" s="23" t="n"/>
      <c r="W60" s="23" t="n"/>
      <c r="AB60" s="23" t="n"/>
    </row>
    <row r="61">
      <c r="A61" s="22" t="n"/>
      <c r="B61" s="22" t="n"/>
      <c r="D61" s="23" t="n"/>
      <c r="I61" s="23" t="n"/>
      <c r="L61" s="22" t="n"/>
      <c r="Q61" s="23" t="n"/>
      <c r="R61" s="23" t="n"/>
      <c r="W61" s="23" t="n"/>
      <c r="AB61" s="23" t="n"/>
    </row>
    <row r="62">
      <c r="A62" s="22" t="n"/>
      <c r="B62" s="22" t="n"/>
      <c r="D62" s="23" t="n"/>
      <c r="I62" s="23" t="n"/>
      <c r="L62" s="22" t="n"/>
      <c r="Q62" s="23" t="n"/>
      <c r="R62" s="23" t="n"/>
      <c r="W62" s="23" t="n"/>
      <c r="AB62" s="23" t="n"/>
    </row>
    <row r="63">
      <c r="A63" s="22" t="n"/>
      <c r="B63" s="22" t="n"/>
      <c r="D63" s="23" t="n"/>
      <c r="I63" s="23" t="n"/>
      <c r="L63" s="22" t="n"/>
      <c r="Q63" s="23" t="n"/>
      <c r="R63" s="23" t="n"/>
      <c r="W63" s="23" t="n"/>
      <c r="AB63" s="23" t="n"/>
    </row>
    <row r="64">
      <c r="A64" s="22" t="n"/>
      <c r="B64" s="22" t="n"/>
      <c r="D64" s="23" t="n"/>
      <c r="I64" s="23" t="n"/>
      <c r="L64" s="22" t="n"/>
      <c r="Q64" s="23" t="n"/>
      <c r="R64" s="23" t="n"/>
      <c r="W64" s="23" t="n"/>
      <c r="AB64" s="23" t="n"/>
    </row>
    <row r="65">
      <c r="A65" s="22" t="n"/>
      <c r="B65" s="22" t="n"/>
      <c r="D65" s="23" t="n"/>
      <c r="I65" s="23" t="n"/>
      <c r="L65" s="22" t="n"/>
      <c r="Q65" s="23" t="n"/>
      <c r="R65" s="23" t="n"/>
      <c r="W65" s="23" t="n"/>
      <c r="AB65" s="23" t="n"/>
    </row>
    <row r="66">
      <c r="A66" s="22" t="n"/>
      <c r="B66" s="22" t="n"/>
      <c r="D66" s="23" t="n"/>
      <c r="I66" s="23" t="n"/>
      <c r="L66" s="22" t="n"/>
      <c r="Q66" s="23" t="n"/>
      <c r="R66" s="23" t="n"/>
      <c r="W66" s="23" t="n"/>
      <c r="AB66" s="23" t="n"/>
    </row>
    <row r="67">
      <c r="A67" s="22" t="n"/>
      <c r="B67" s="22" t="n"/>
      <c r="D67" s="23" t="n"/>
      <c r="I67" s="23" t="n"/>
      <c r="L67" s="22" t="n"/>
      <c r="Q67" s="23" t="n"/>
      <c r="R67" s="23" t="n"/>
      <c r="W67" s="23" t="n"/>
      <c r="AB67" s="23" t="n"/>
    </row>
    <row r="68">
      <c r="A68" s="22" t="n"/>
      <c r="B68" s="22" t="n"/>
      <c r="D68" s="23" t="n"/>
      <c r="I68" s="23" t="n"/>
      <c r="L68" s="22" t="n"/>
      <c r="Q68" s="23" t="n"/>
      <c r="R68" s="23" t="n"/>
      <c r="W68" s="23" t="n"/>
      <c r="AB68" s="23" t="n"/>
    </row>
    <row r="69">
      <c r="A69" s="22" t="n"/>
      <c r="B69" s="22" t="n"/>
      <c r="D69" s="23" t="n"/>
      <c r="I69" s="23" t="n"/>
      <c r="L69" s="22" t="n"/>
      <c r="Q69" s="23" t="n"/>
      <c r="R69" s="23" t="n"/>
      <c r="W69" s="23" t="n"/>
      <c r="AB69" s="23" t="n"/>
    </row>
    <row r="70">
      <c r="A70" s="22" t="n"/>
      <c r="B70" s="22" t="n"/>
      <c r="D70" s="23" t="n"/>
      <c r="I70" s="23" t="n"/>
      <c r="L70" s="22" t="n"/>
      <c r="Q70" s="23" t="n"/>
      <c r="R70" s="23" t="n"/>
      <c r="W70" s="23" t="n"/>
      <c r="AB70" s="23" t="n"/>
    </row>
    <row r="71">
      <c r="A71" s="22" t="n"/>
      <c r="B71" s="22" t="n"/>
      <c r="D71" s="23" t="n"/>
      <c r="I71" s="23" t="n"/>
      <c r="L71" s="22" t="n"/>
      <c r="Q71" s="23" t="n"/>
      <c r="R71" s="23" t="n"/>
      <c r="W71" s="23" t="n"/>
      <c r="AB71" s="23" t="n"/>
    </row>
    <row r="72">
      <c r="A72" s="22" t="n"/>
      <c r="B72" s="22" t="n"/>
      <c r="D72" s="23" t="n"/>
      <c r="I72" s="23" t="n"/>
      <c r="L72" s="22" t="n"/>
      <c r="Q72" s="23" t="n"/>
      <c r="R72" s="23" t="n"/>
      <c r="W72" s="23" t="n"/>
      <c r="AB72" s="23" t="n"/>
    </row>
    <row r="73">
      <c r="A73" s="22" t="n"/>
      <c r="B73" s="22" t="n"/>
      <c r="D73" s="23" t="n"/>
      <c r="I73" s="23" t="n"/>
      <c r="L73" s="22" t="n"/>
      <c r="Q73" s="23" t="n"/>
      <c r="R73" s="23" t="n"/>
      <c r="W73" s="23" t="n"/>
      <c r="AB73" s="23" t="n"/>
    </row>
    <row r="74">
      <c r="A74" s="22" t="n"/>
      <c r="B74" s="22" t="n"/>
      <c r="D74" s="23" t="n"/>
      <c r="I74" s="23" t="n"/>
      <c r="L74" s="22" t="n"/>
      <c r="Q74" s="23" t="n"/>
      <c r="R74" s="23" t="n"/>
      <c r="W74" s="23" t="n"/>
      <c r="AB74" s="23" t="n"/>
    </row>
    <row r="75">
      <c r="A75" s="22" t="n"/>
      <c r="B75" s="22" t="n"/>
      <c r="D75" s="23" t="n"/>
      <c r="I75" s="23" t="n"/>
      <c r="L75" s="22" t="n"/>
      <c r="Q75" s="23" t="n"/>
      <c r="R75" s="23" t="n"/>
      <c r="W75" s="23" t="n"/>
      <c r="AB75" s="23" t="n"/>
    </row>
    <row r="76">
      <c r="A76" s="22" t="n"/>
      <c r="B76" s="22" t="n"/>
      <c r="D76" s="23" t="n"/>
      <c r="I76" s="23" t="n"/>
      <c r="L76" s="22" t="n"/>
      <c r="Q76" s="23" t="n"/>
      <c r="R76" s="23" t="n"/>
      <c r="W76" s="23" t="n"/>
      <c r="AB76" s="23" t="n"/>
    </row>
    <row r="77">
      <c r="A77" s="22" t="n"/>
      <c r="B77" s="22" t="n"/>
      <c r="D77" s="23" t="n"/>
      <c r="I77" s="23" t="n"/>
      <c r="L77" s="22" t="n"/>
      <c r="Q77" s="23" t="n"/>
      <c r="R77" s="23" t="n"/>
      <c r="W77" s="23" t="n"/>
      <c r="AB77" s="23" t="n"/>
    </row>
    <row r="78">
      <c r="A78" s="22" t="n"/>
      <c r="B78" s="22" t="n"/>
      <c r="D78" s="23" t="n"/>
      <c r="I78" s="23" t="n"/>
      <c r="L78" s="22" t="n"/>
      <c r="Q78" s="23" t="n"/>
      <c r="R78" s="23" t="n"/>
      <c r="W78" s="23" t="n"/>
      <c r="AB78" s="23" t="n"/>
    </row>
    <row r="79">
      <c r="A79" s="22" t="n"/>
      <c r="B79" s="22" t="n"/>
      <c r="D79" s="23" t="n"/>
      <c r="I79" s="23" t="n"/>
      <c r="L79" s="22" t="n"/>
      <c r="Q79" s="23" t="n"/>
      <c r="R79" s="23" t="n"/>
      <c r="W79" s="23" t="n"/>
      <c r="AB79" s="23" t="n"/>
    </row>
    <row r="80">
      <c r="A80" s="22" t="n"/>
      <c r="B80" s="22" t="n"/>
      <c r="D80" s="23" t="n"/>
      <c r="I80" s="23" t="n"/>
      <c r="L80" s="22" t="n"/>
      <c r="Q80" s="23" t="n"/>
      <c r="R80" s="23" t="n"/>
      <c r="W80" s="23" t="n"/>
      <c r="AB80" s="23" t="n"/>
    </row>
    <row r="81">
      <c r="A81" s="22" t="n"/>
      <c r="B81" s="22" t="n"/>
      <c r="D81" s="23" t="n"/>
      <c r="I81" s="23" t="n"/>
      <c r="L81" s="22" t="n"/>
      <c r="Q81" s="23" t="n"/>
      <c r="R81" s="23" t="n"/>
      <c r="W81" s="23" t="n"/>
      <c r="AB81" s="23" t="n"/>
    </row>
    <row r="82">
      <c r="A82" s="22" t="n"/>
      <c r="B82" s="22" t="n"/>
      <c r="D82" s="23" t="n"/>
      <c r="I82" s="23" t="n"/>
      <c r="L82" s="22" t="n"/>
      <c r="Q82" s="23" t="n"/>
      <c r="R82" s="23" t="n"/>
      <c r="W82" s="23" t="n"/>
      <c r="AB82" s="23" t="n"/>
    </row>
    <row r="83">
      <c r="A83" s="22" t="n"/>
      <c r="B83" s="22" t="n"/>
      <c r="D83" s="23" t="n"/>
      <c r="I83" s="23" t="n"/>
      <c r="L83" s="22" t="n"/>
      <c r="Q83" s="23" t="n"/>
      <c r="R83" s="23" t="n"/>
      <c r="W83" s="23" t="n"/>
      <c r="AB83" s="23" t="n"/>
    </row>
    <row r="84">
      <c r="A84" s="22" t="n"/>
      <c r="B84" s="22" t="n"/>
      <c r="D84" s="23" t="n"/>
      <c r="I84" s="23" t="n"/>
      <c r="L84" s="22" t="n"/>
      <c r="Q84" s="23" t="n"/>
      <c r="R84" s="23" t="n"/>
      <c r="W84" s="23" t="n"/>
      <c r="AB84" s="23" t="n"/>
    </row>
    <row r="85">
      <c r="A85" s="22" t="n"/>
      <c r="B85" s="22" t="n"/>
      <c r="D85" s="23" t="n"/>
      <c r="I85" s="23" t="n"/>
      <c r="L85" s="22" t="n"/>
      <c r="Q85" s="23" t="n"/>
      <c r="R85" s="23" t="n"/>
      <c r="W85" s="23" t="n"/>
      <c r="AB85" s="23" t="n"/>
    </row>
    <row r="86">
      <c r="A86" s="22" t="n"/>
      <c r="B86" s="22" t="n"/>
      <c r="D86" s="23" t="n"/>
      <c r="I86" s="23" t="n"/>
      <c r="L86" s="22" t="n"/>
      <c r="Q86" s="23" t="n"/>
      <c r="R86" s="23" t="n"/>
      <c r="W86" s="23" t="n"/>
      <c r="AB86" s="23" t="n"/>
    </row>
    <row r="87">
      <c r="A87" s="22" t="n"/>
      <c r="B87" s="22" t="n"/>
      <c r="D87" s="23" t="n"/>
      <c r="I87" s="23" t="n"/>
      <c r="L87" s="22" t="n"/>
      <c r="Q87" s="23" t="n"/>
      <c r="R87" s="23" t="n"/>
      <c r="W87" s="23" t="n"/>
      <c r="AB87" s="23" t="n"/>
    </row>
    <row r="88">
      <c r="A88" s="22" t="n"/>
      <c r="B88" s="22" t="n"/>
      <c r="D88" s="23" t="n"/>
      <c r="I88" s="23" t="n"/>
      <c r="L88" s="22" t="n"/>
      <c r="Q88" s="23" t="n"/>
      <c r="R88" s="23" t="n"/>
      <c r="W88" s="23" t="n"/>
      <c r="AB88" s="23" t="n"/>
    </row>
    <row r="89">
      <c r="A89" s="22" t="n"/>
      <c r="B89" s="22" t="n"/>
      <c r="D89" s="23" t="n"/>
      <c r="I89" s="23" t="n"/>
      <c r="L89" s="22" t="n"/>
      <c r="Q89" s="23" t="n"/>
      <c r="R89" s="23" t="n"/>
      <c r="W89" s="23" t="n"/>
      <c r="AB89" s="23" t="n"/>
    </row>
    <row r="90">
      <c r="A90" s="22" t="n"/>
      <c r="B90" s="22" t="n"/>
      <c r="D90" s="23" t="n"/>
      <c r="I90" s="23" t="n"/>
      <c r="L90" s="22" t="n"/>
      <c r="Q90" s="23" t="n"/>
      <c r="R90" s="23" t="n"/>
      <c r="W90" s="23" t="n"/>
      <c r="AB90" s="23" t="n"/>
    </row>
    <row r="91">
      <c r="A91" s="22" t="n"/>
      <c r="B91" s="22" t="n"/>
      <c r="D91" s="23" t="n"/>
      <c r="I91" s="23" t="n"/>
      <c r="L91" s="22" t="n"/>
      <c r="Q91" s="23" t="n"/>
      <c r="R91" s="23" t="n"/>
      <c r="W91" s="23" t="n"/>
      <c r="AB91" s="23" t="n"/>
    </row>
    <row r="92">
      <c r="A92" s="22" t="n"/>
      <c r="B92" s="22" t="n"/>
      <c r="D92" s="23" t="n"/>
      <c r="I92" s="23" t="n"/>
      <c r="L92" s="22" t="n"/>
      <c r="Q92" s="23" t="n"/>
      <c r="R92" s="23" t="n"/>
      <c r="W92" s="23" t="n"/>
      <c r="AB92" s="23" t="n"/>
    </row>
    <row r="93">
      <c r="A93" s="22" t="n"/>
      <c r="B93" s="22" t="n"/>
      <c r="D93" s="23" t="n"/>
      <c r="I93" s="23" t="n"/>
      <c r="L93" s="22" t="n"/>
      <c r="Q93" s="23" t="n"/>
      <c r="R93" s="23" t="n"/>
      <c r="W93" s="23" t="n"/>
      <c r="AB93" s="23" t="n"/>
    </row>
    <row r="94">
      <c r="A94" s="22" t="n"/>
      <c r="B94" s="22" t="n"/>
      <c r="D94" s="23" t="n"/>
      <c r="I94" s="23" t="n"/>
      <c r="L94" s="22" t="n"/>
      <c r="Q94" s="23" t="n"/>
      <c r="R94" s="23" t="n"/>
      <c r="W94" s="23" t="n"/>
      <c r="AB94" s="23" t="n"/>
    </row>
    <row r="95">
      <c r="A95" s="22" t="n"/>
      <c r="B95" s="22" t="n"/>
      <c r="D95" s="23" t="n"/>
      <c r="I95" s="23" t="n"/>
      <c r="L95" s="22" t="n"/>
      <c r="Q95" s="23" t="n"/>
      <c r="R95" s="23" t="n"/>
      <c r="W95" s="23" t="n"/>
      <c r="AB95" s="23" t="n"/>
    </row>
    <row r="96">
      <c r="A96" s="22" t="n"/>
      <c r="B96" s="22" t="n"/>
      <c r="D96" s="23" t="n"/>
      <c r="I96" s="23" t="n"/>
      <c r="L96" s="22" t="n"/>
      <c r="Q96" s="23" t="n"/>
      <c r="R96" s="23" t="n"/>
      <c r="W96" s="23" t="n"/>
      <c r="AB96" s="23" t="n"/>
    </row>
    <row r="97">
      <c r="A97" s="22" t="n"/>
      <c r="B97" s="22" t="n"/>
      <c r="D97" s="23" t="n"/>
      <c r="I97" s="23" t="n"/>
      <c r="L97" s="22" t="n"/>
      <c r="Q97" s="23" t="n"/>
      <c r="R97" s="23" t="n"/>
      <c r="W97" s="23" t="n"/>
      <c r="AB97" s="23" t="n"/>
    </row>
    <row r="98">
      <c r="A98" s="22" t="n"/>
      <c r="B98" s="22" t="n"/>
      <c r="D98" s="23" t="n"/>
      <c r="I98" s="23" t="n"/>
      <c r="L98" s="22" t="n"/>
      <c r="Q98" s="23" t="n"/>
      <c r="R98" s="23" t="n"/>
      <c r="W98" s="23" t="n"/>
      <c r="AB98" s="23" t="n"/>
    </row>
    <row r="99">
      <c r="A99" s="22" t="n"/>
      <c r="B99" s="22" t="n"/>
      <c r="D99" s="23" t="n"/>
      <c r="I99" s="23" t="n"/>
      <c r="L99" s="22" t="n"/>
      <c r="Q99" s="23" t="n"/>
      <c r="R99" s="23" t="n"/>
      <c r="W99" s="23" t="n"/>
      <c r="AB99" s="23" t="n"/>
    </row>
    <row r="100">
      <c r="A100" s="22" t="n"/>
      <c r="B100" s="22" t="n"/>
      <c r="D100" s="23" t="n"/>
      <c r="I100" s="23" t="n"/>
      <c r="L100" s="22" t="n"/>
      <c r="Q100" s="23" t="n"/>
      <c r="R100" s="23" t="n"/>
      <c r="W100" s="23" t="n"/>
      <c r="AB100" s="23" t="n"/>
    </row>
    <row r="101">
      <c r="A101" s="22" t="n"/>
      <c r="B101" s="22" t="n"/>
      <c r="D101" s="23" t="n"/>
      <c r="I101" s="23" t="n"/>
      <c r="L101" s="22" t="n"/>
      <c r="Q101" s="23" t="n"/>
      <c r="R101" s="23" t="n"/>
      <c r="W101" s="23" t="n"/>
      <c r="AB101" s="23" t="n"/>
    </row>
    <row r="102">
      <c r="A102" s="22" t="n"/>
      <c r="B102" s="22" t="n"/>
      <c r="D102" s="23" t="n"/>
      <c r="I102" s="23" t="n"/>
      <c r="L102" s="22" t="n"/>
      <c r="Q102" s="23" t="n"/>
      <c r="R102" s="23" t="n"/>
      <c r="W102" s="23" t="n"/>
      <c r="AB102" s="23" t="n"/>
    </row>
    <row r="103">
      <c r="A103" s="22" t="n"/>
      <c r="B103" s="22" t="n"/>
      <c r="D103" s="23" t="n"/>
      <c r="I103" s="23" t="n"/>
      <c r="L103" s="22" t="n"/>
      <c r="Q103" s="23" t="n"/>
      <c r="R103" s="23" t="n"/>
      <c r="W103" s="23" t="n"/>
      <c r="AB103" s="23" t="n"/>
    </row>
    <row r="104">
      <c r="A104" s="22" t="n"/>
      <c r="B104" s="22" t="n"/>
      <c r="D104" s="23" t="n"/>
      <c r="I104" s="23" t="n"/>
      <c r="L104" s="22" t="n"/>
      <c r="Q104" s="23" t="n"/>
      <c r="R104" s="23" t="n"/>
      <c r="W104" s="23" t="n"/>
      <c r="AB104" s="23" t="n"/>
    </row>
    <row r="105">
      <c r="A105" s="22" t="n"/>
      <c r="B105" s="22" t="n"/>
      <c r="D105" s="23" t="n"/>
      <c r="I105" s="23" t="n"/>
      <c r="L105" s="22" t="n"/>
      <c r="Q105" s="23" t="n"/>
      <c r="R105" s="23" t="n"/>
      <c r="W105" s="23" t="n"/>
      <c r="AB105" s="23" t="n"/>
    </row>
    <row r="106">
      <c r="A106" s="22" t="n"/>
      <c r="B106" s="22" t="n"/>
      <c r="D106" s="23" t="n"/>
      <c r="I106" s="23" t="n"/>
      <c r="L106" s="22" t="n"/>
      <c r="Q106" s="23" t="n"/>
      <c r="R106" s="23" t="n"/>
      <c r="W106" s="23" t="n"/>
      <c r="AB106" s="23" t="n"/>
    </row>
    <row r="107">
      <c r="A107" s="22" t="n"/>
      <c r="B107" s="22" t="n"/>
      <c r="D107" s="23" t="n"/>
      <c r="I107" s="23" t="n"/>
      <c r="L107" s="22" t="n"/>
      <c r="Q107" s="23" t="n"/>
      <c r="R107" s="23" t="n"/>
      <c r="W107" s="23" t="n"/>
      <c r="AB107" s="23" t="n"/>
    </row>
    <row r="108">
      <c r="A108" s="22" t="n"/>
      <c r="B108" s="22" t="n"/>
      <c r="D108" s="23" t="n"/>
      <c r="I108" s="23" t="n"/>
      <c r="L108" s="22" t="n"/>
      <c r="Q108" s="23" t="n"/>
      <c r="R108" s="23" t="n"/>
      <c r="W108" s="23" t="n"/>
      <c r="AB108" s="23" t="n"/>
    </row>
    <row r="109">
      <c r="A109" s="22" t="n"/>
      <c r="B109" s="22" t="n"/>
      <c r="D109" s="23" t="n"/>
      <c r="I109" s="23" t="n"/>
      <c r="L109" s="22" t="n"/>
      <c r="Q109" s="23" t="n"/>
      <c r="R109" s="23" t="n"/>
      <c r="W109" s="23" t="n"/>
      <c r="AB109" s="23" t="n"/>
    </row>
    <row r="110">
      <c r="A110" s="22" t="n"/>
      <c r="B110" s="22" t="n"/>
      <c r="D110" s="23" t="n"/>
      <c r="I110" s="23" t="n"/>
      <c r="L110" s="22" t="n"/>
      <c r="Q110" s="23" t="n"/>
      <c r="R110" s="23" t="n"/>
      <c r="W110" s="23" t="n"/>
      <c r="AB110" s="23" t="n"/>
    </row>
    <row r="111">
      <c r="A111" s="22" t="n"/>
      <c r="B111" s="22" t="n"/>
      <c r="D111" s="23" t="n"/>
      <c r="I111" s="23" t="n"/>
      <c r="L111" s="22" t="n"/>
      <c r="Q111" s="23" t="n"/>
      <c r="R111" s="23" t="n"/>
      <c r="W111" s="23" t="n"/>
      <c r="AB111" s="23" t="n"/>
    </row>
    <row r="112">
      <c r="A112" s="22" t="n"/>
      <c r="B112" s="22" t="n"/>
      <c r="D112" s="23" t="n"/>
      <c r="I112" s="23" t="n"/>
      <c r="L112" s="22" t="n"/>
      <c r="Q112" s="23" t="n"/>
      <c r="R112" s="23" t="n"/>
      <c r="W112" s="23" t="n"/>
      <c r="AB112" s="23" t="n"/>
    </row>
    <row r="113">
      <c r="A113" s="22" t="n"/>
      <c r="B113" s="22" t="n"/>
      <c r="D113" s="23" t="n"/>
      <c r="I113" s="23" t="n"/>
      <c r="L113" s="22" t="n"/>
      <c r="Q113" s="23" t="n"/>
      <c r="R113" s="23" t="n"/>
      <c r="W113" s="23" t="n"/>
      <c r="AB113" s="23" t="n"/>
    </row>
    <row r="114">
      <c r="A114" s="22" t="n"/>
      <c r="B114" s="22" t="n"/>
      <c r="D114" s="23" t="n"/>
      <c r="I114" s="23" t="n"/>
      <c r="L114" s="22" t="n"/>
      <c r="Q114" s="23" t="n"/>
      <c r="R114" s="23" t="n"/>
      <c r="W114" s="23" t="n"/>
      <c r="AB114" s="23" t="n"/>
    </row>
    <row r="115">
      <c r="A115" s="22" t="n"/>
      <c r="B115" s="22" t="n"/>
      <c r="D115" s="23" t="n"/>
      <c r="I115" s="23" t="n"/>
      <c r="L115" s="22" t="n"/>
      <c r="Q115" s="23" t="n"/>
      <c r="R115" s="23" t="n"/>
      <c r="W115" s="23" t="n"/>
      <c r="AB115" s="23" t="n"/>
    </row>
    <row r="116">
      <c r="A116" s="22" t="n"/>
      <c r="B116" s="22" t="n"/>
      <c r="D116" s="23" t="n"/>
      <c r="I116" s="23" t="n"/>
      <c r="L116" s="22" t="n"/>
      <c r="Q116" s="23" t="n"/>
      <c r="R116" s="23" t="n"/>
      <c r="W116" s="23" t="n"/>
      <c r="AB116" s="23" t="n"/>
    </row>
    <row r="117">
      <c r="A117" s="22" t="n"/>
      <c r="B117" s="22" t="n"/>
      <c r="D117" s="23" t="n"/>
      <c r="I117" s="23" t="n"/>
      <c r="L117" s="22" t="n"/>
      <c r="Q117" s="23" t="n"/>
      <c r="R117" s="23" t="n"/>
      <c r="W117" s="23" t="n"/>
      <c r="AB117" s="23" t="n"/>
    </row>
    <row r="118">
      <c r="A118" s="22" t="n"/>
      <c r="B118" s="22" t="n"/>
      <c r="D118" s="23" t="n"/>
      <c r="I118" s="23" t="n"/>
      <c r="L118" s="22" t="n"/>
      <c r="Q118" s="23" t="n"/>
      <c r="R118" s="23" t="n"/>
      <c r="W118" s="23" t="n"/>
      <c r="AB118" s="23" t="n"/>
    </row>
    <row r="119">
      <c r="A119" s="22" t="n"/>
      <c r="B119" s="22" t="n"/>
      <c r="D119" s="23" t="n"/>
      <c r="I119" s="23" t="n"/>
      <c r="L119" s="22" t="n"/>
      <c r="Q119" s="23" t="n"/>
      <c r="R119" s="23" t="n"/>
      <c r="W119" s="23" t="n"/>
      <c r="AB119" s="23" t="n"/>
    </row>
    <row r="120">
      <c r="A120" s="22" t="n"/>
      <c r="B120" s="22" t="n"/>
      <c r="D120" s="23" t="n"/>
      <c r="I120" s="23" t="n"/>
      <c r="L120" s="22" t="n"/>
      <c r="Q120" s="23" t="n"/>
      <c r="R120" s="23" t="n"/>
      <c r="W120" s="23" t="n"/>
      <c r="AB120" s="23" t="n"/>
    </row>
    <row r="121">
      <c r="A121" s="22" t="n"/>
      <c r="B121" s="22" t="n"/>
      <c r="D121" s="23" t="n"/>
      <c r="I121" s="23" t="n"/>
      <c r="L121" s="22" t="n"/>
      <c r="Q121" s="23" t="n"/>
      <c r="R121" s="23" t="n"/>
      <c r="W121" s="23" t="n"/>
      <c r="AB121" s="23" t="n"/>
    </row>
    <row r="122">
      <c r="A122" s="22" t="n"/>
      <c r="B122" s="22" t="n"/>
      <c r="D122" s="23" t="n"/>
      <c r="I122" s="23" t="n"/>
      <c r="L122" s="22" t="n"/>
      <c r="Q122" s="23" t="n"/>
      <c r="R122" s="23" t="n"/>
      <c r="W122" s="23" t="n"/>
      <c r="AB122" s="23" t="n"/>
    </row>
    <row r="123">
      <c r="A123" s="22" t="n"/>
      <c r="B123" s="22" t="n"/>
      <c r="D123" s="23" t="n"/>
      <c r="I123" s="23" t="n"/>
      <c r="L123" s="22" t="n"/>
      <c r="Q123" s="23" t="n"/>
      <c r="R123" s="23" t="n"/>
      <c r="W123" s="23" t="n"/>
      <c r="AB123" s="23" t="n"/>
    </row>
    <row r="124">
      <c r="A124" s="22" t="n"/>
      <c r="B124" s="22" t="n"/>
      <c r="D124" s="23" t="n"/>
      <c r="I124" s="23" t="n"/>
      <c r="L124" s="22" t="n"/>
      <c r="Q124" s="23" t="n"/>
      <c r="R124" s="23" t="n"/>
      <c r="W124" s="23" t="n"/>
      <c r="AB124" s="23" t="n"/>
    </row>
    <row r="125">
      <c r="A125" s="22" t="n"/>
      <c r="B125" s="22" t="n"/>
      <c r="D125" s="23" t="n"/>
      <c r="I125" s="23" t="n"/>
      <c r="L125" s="22" t="n"/>
      <c r="Q125" s="23" t="n"/>
      <c r="R125" s="23" t="n"/>
      <c r="W125" s="23" t="n"/>
      <c r="AB125" s="23" t="n"/>
    </row>
    <row r="126">
      <c r="A126" s="22" t="n"/>
      <c r="B126" s="22" t="n"/>
      <c r="D126" s="23" t="n"/>
      <c r="I126" s="23" t="n"/>
      <c r="L126" s="22" t="n"/>
      <c r="Q126" s="23" t="n"/>
      <c r="R126" s="23" t="n"/>
      <c r="W126" s="23" t="n"/>
      <c r="AB126" s="23" t="n"/>
    </row>
    <row r="127">
      <c r="A127" s="22" t="n"/>
      <c r="B127" s="22" t="n"/>
      <c r="D127" s="23" t="n"/>
      <c r="I127" s="23" t="n"/>
      <c r="L127" s="22" t="n"/>
      <c r="Q127" s="23" t="n"/>
      <c r="R127" s="23" t="n"/>
      <c r="W127" s="23" t="n"/>
      <c r="AB127" s="23" t="n"/>
    </row>
    <row r="128">
      <c r="A128" s="22" t="n"/>
      <c r="B128" s="22" t="n"/>
      <c r="D128" s="23" t="n"/>
      <c r="I128" s="23" t="n"/>
      <c r="L128" s="22" t="n"/>
      <c r="Q128" s="23" t="n"/>
      <c r="R128" s="23" t="n"/>
      <c r="W128" s="23" t="n"/>
      <c r="AB128" s="23" t="n"/>
    </row>
    <row r="129">
      <c r="A129" s="22" t="n"/>
      <c r="B129" s="22" t="n"/>
      <c r="D129" s="23" t="n"/>
      <c r="I129" s="23" t="n"/>
      <c r="L129" s="22" t="n"/>
      <c r="Q129" s="23" t="n"/>
      <c r="R129" s="23" t="n"/>
      <c r="W129" s="23" t="n"/>
      <c r="AB129" s="23" t="n"/>
    </row>
    <row r="130">
      <c r="A130" s="22" t="n"/>
      <c r="B130" s="22" t="n"/>
      <c r="D130" s="23" t="n"/>
      <c r="I130" s="23" t="n"/>
      <c r="L130" s="22" t="n"/>
      <c r="Q130" s="23" t="n"/>
      <c r="R130" s="23" t="n"/>
      <c r="W130" s="23" t="n"/>
      <c r="AB130" s="23" t="n"/>
    </row>
    <row r="131">
      <c r="A131" s="22" t="n"/>
      <c r="B131" s="22" t="n"/>
      <c r="D131" s="23" t="n"/>
      <c r="I131" s="23" t="n"/>
      <c r="L131" s="22" t="n"/>
      <c r="Q131" s="23" t="n"/>
      <c r="R131" s="23" t="n"/>
      <c r="W131" s="23" t="n"/>
      <c r="AB131" s="23" t="n"/>
    </row>
    <row r="132">
      <c r="A132" s="22" t="n"/>
      <c r="B132" s="22" t="n"/>
      <c r="D132" s="23" t="n"/>
      <c r="I132" s="23" t="n"/>
      <c r="L132" s="22" t="n"/>
      <c r="Q132" s="23" t="n"/>
      <c r="R132" s="23" t="n"/>
      <c r="W132" s="23" t="n"/>
      <c r="AB132" s="23" t="n"/>
    </row>
    <row r="133">
      <c r="A133" s="22" t="n"/>
      <c r="B133" s="22" t="n"/>
      <c r="D133" s="23" t="n"/>
      <c r="I133" s="23" t="n"/>
      <c r="L133" s="22" t="n"/>
      <c r="Q133" s="23" t="n"/>
      <c r="R133" s="23" t="n"/>
      <c r="W133" s="23" t="n"/>
      <c r="AB133" s="23" t="n"/>
    </row>
    <row r="134">
      <c r="A134" s="22" t="n"/>
      <c r="B134" s="22" t="n"/>
      <c r="D134" s="23" t="n"/>
      <c r="I134" s="23" t="n"/>
      <c r="L134" s="22" t="n"/>
      <c r="Q134" s="23" t="n"/>
      <c r="R134" s="23" t="n"/>
      <c r="W134" s="23" t="n"/>
      <c r="AB134" s="23" t="n"/>
    </row>
    <row r="135">
      <c r="A135" s="22" t="n"/>
      <c r="B135" s="22" t="n"/>
      <c r="D135" s="23" t="n"/>
      <c r="I135" s="23" t="n"/>
      <c r="L135" s="22" t="n"/>
      <c r="Q135" s="23" t="n"/>
      <c r="R135" s="23" t="n"/>
      <c r="W135" s="23" t="n"/>
      <c r="AB135" s="23" t="n"/>
    </row>
    <row r="136">
      <c r="A136" s="22" t="n"/>
      <c r="B136" s="22" t="n"/>
      <c r="D136" s="23" t="n"/>
      <c r="I136" s="23" t="n"/>
      <c r="L136" s="22" t="n"/>
      <c r="Q136" s="23" t="n"/>
      <c r="R136" s="23" t="n"/>
      <c r="W136" s="23" t="n"/>
      <c r="AB136" s="23" t="n"/>
    </row>
    <row r="137">
      <c r="A137" s="22" t="n"/>
      <c r="B137" s="22" t="n"/>
      <c r="D137" s="23" t="n"/>
      <c r="I137" s="23" t="n"/>
      <c r="L137" s="22" t="n"/>
      <c r="Q137" s="23" t="n"/>
      <c r="R137" s="23" t="n"/>
      <c r="W137" s="23" t="n"/>
      <c r="AB137" s="23" t="n"/>
    </row>
    <row r="138">
      <c r="A138" s="22" t="n"/>
      <c r="B138" s="22" t="n"/>
      <c r="D138" s="23" t="n"/>
      <c r="I138" s="23" t="n"/>
      <c r="L138" s="22" t="n"/>
      <c r="Q138" s="23" t="n"/>
      <c r="R138" s="23" t="n"/>
      <c r="W138" s="23" t="n"/>
      <c r="AB138" s="23" t="n"/>
    </row>
    <row r="139">
      <c r="A139" s="22" t="n"/>
      <c r="B139" s="22" t="n"/>
      <c r="D139" s="23" t="n"/>
      <c r="I139" s="23" t="n"/>
      <c r="L139" s="22" t="n"/>
      <c r="Q139" s="23" t="n"/>
      <c r="R139" s="23" t="n"/>
      <c r="W139" s="23" t="n"/>
      <c r="AB139" s="23" t="n"/>
    </row>
    <row r="140">
      <c r="A140" s="22" t="n"/>
      <c r="B140" s="22" t="n"/>
      <c r="D140" s="23" t="n"/>
      <c r="I140" s="23" t="n"/>
      <c r="L140" s="22" t="n"/>
      <c r="Q140" s="23" t="n"/>
      <c r="R140" s="23" t="n"/>
      <c r="W140" s="23" t="n"/>
      <c r="AB140" s="23" t="n"/>
    </row>
    <row r="141">
      <c r="A141" s="22" t="n"/>
      <c r="B141" s="22" t="n"/>
      <c r="D141" s="23" t="n"/>
      <c r="I141" s="23" t="n"/>
      <c r="L141" s="22" t="n"/>
      <c r="Q141" s="23" t="n"/>
      <c r="R141" s="23" t="n"/>
      <c r="W141" s="23" t="n"/>
      <c r="AB141" s="23" t="n"/>
    </row>
    <row r="142">
      <c r="A142" s="22" t="n"/>
      <c r="B142" s="22" t="n"/>
      <c r="D142" s="23" t="n"/>
      <c r="I142" s="23" t="n"/>
      <c r="L142" s="22" t="n"/>
      <c r="Q142" s="23" t="n"/>
      <c r="R142" s="23" t="n"/>
      <c r="W142" s="23" t="n"/>
      <c r="AB142" s="23" t="n"/>
    </row>
    <row r="143">
      <c r="A143" s="22" t="n"/>
      <c r="B143" s="22" t="n"/>
      <c r="D143" s="23" t="n"/>
      <c r="I143" s="23" t="n"/>
      <c r="L143" s="22" t="n"/>
      <c r="Q143" s="23" t="n"/>
      <c r="R143" s="23" t="n"/>
      <c r="W143" s="23" t="n"/>
      <c r="AB143" s="23" t="n"/>
    </row>
    <row r="144">
      <c r="A144" s="22" t="n"/>
      <c r="B144" s="22" t="n"/>
      <c r="D144" s="23" t="n"/>
      <c r="I144" s="23" t="n"/>
      <c r="L144" s="22" t="n"/>
      <c r="Q144" s="23" t="n"/>
      <c r="R144" s="23" t="n"/>
      <c r="W144" s="23" t="n"/>
      <c r="AB144" s="23" t="n"/>
    </row>
    <row r="145">
      <c r="A145" s="22" t="n"/>
      <c r="B145" s="22" t="n"/>
      <c r="D145" s="23" t="n"/>
      <c r="I145" s="23" t="n"/>
      <c r="L145" s="22" t="n"/>
      <c r="Q145" s="23" t="n"/>
      <c r="R145" s="23" t="n"/>
      <c r="W145" s="23" t="n"/>
      <c r="AB145" s="23" t="n"/>
    </row>
    <row r="146">
      <c r="A146" s="22" t="n"/>
      <c r="B146" s="22" t="n"/>
      <c r="D146" s="23" t="n"/>
      <c r="I146" s="23" t="n"/>
      <c r="L146" s="22" t="n"/>
      <c r="Q146" s="23" t="n"/>
      <c r="R146" s="23" t="n"/>
      <c r="W146" s="23" t="n"/>
      <c r="AB146" s="23" t="n"/>
    </row>
    <row r="147">
      <c r="A147" s="22" t="n"/>
      <c r="B147" s="22" t="n"/>
      <c r="D147" s="23" t="n"/>
      <c r="I147" s="23" t="n"/>
      <c r="L147" s="22" t="n"/>
      <c r="Q147" s="23" t="n"/>
      <c r="R147" s="23" t="n"/>
      <c r="W147" s="23" t="n"/>
      <c r="AB147" s="23" t="n"/>
    </row>
    <row r="148">
      <c r="A148" s="22" t="n"/>
      <c r="B148" s="22" t="n"/>
      <c r="D148" s="23" t="n"/>
      <c r="I148" s="23" t="n"/>
      <c r="L148" s="22" t="n"/>
      <c r="Q148" s="23" t="n"/>
      <c r="R148" s="23" t="n"/>
      <c r="W148" s="23" t="n"/>
      <c r="AB148" s="23" t="n"/>
    </row>
    <row r="149">
      <c r="A149" s="22" t="n"/>
      <c r="B149" s="22" t="n"/>
      <c r="D149" s="23" t="n"/>
      <c r="I149" s="23" t="n"/>
      <c r="L149" s="22" t="n"/>
      <c r="Q149" s="23" t="n"/>
      <c r="R149" s="23" t="n"/>
      <c r="W149" s="23" t="n"/>
      <c r="AB149" s="23" t="n"/>
    </row>
    <row r="150">
      <c r="A150" s="22" t="n"/>
      <c r="B150" s="22" t="n"/>
      <c r="D150" s="23" t="n"/>
      <c r="I150" s="23" t="n"/>
      <c r="L150" s="22" t="n"/>
      <c r="Q150" s="23" t="n"/>
      <c r="R150" s="23" t="n"/>
      <c r="W150" s="23" t="n"/>
      <c r="AB150" s="23" t="n"/>
    </row>
    <row r="151">
      <c r="A151" s="22" t="n"/>
      <c r="B151" s="22" t="n"/>
      <c r="D151" s="23" t="n"/>
      <c r="I151" s="23" t="n"/>
      <c r="L151" s="22" t="n"/>
      <c r="Q151" s="23" t="n"/>
      <c r="R151" s="23" t="n"/>
      <c r="W151" s="23" t="n"/>
      <c r="AB151" s="23" t="n"/>
    </row>
    <row r="152">
      <c r="A152" s="22" t="n"/>
      <c r="B152" s="22" t="n"/>
      <c r="D152" s="23" t="n"/>
      <c r="I152" s="23" t="n"/>
      <c r="L152" s="22" t="n"/>
      <c r="Q152" s="23" t="n"/>
      <c r="R152" s="23" t="n"/>
      <c r="W152" s="23" t="n"/>
      <c r="AB152" s="23" t="n"/>
    </row>
    <row r="153">
      <c r="A153" s="22" t="n"/>
      <c r="B153" s="22" t="n"/>
      <c r="D153" s="23" t="n"/>
      <c r="I153" s="23" t="n"/>
      <c r="L153" s="22" t="n"/>
      <c r="Q153" s="23" t="n"/>
      <c r="R153" s="23" t="n"/>
      <c r="W153" s="23" t="n"/>
      <c r="AB153" s="23" t="n"/>
    </row>
    <row r="154">
      <c r="A154" s="22" t="n"/>
      <c r="B154" s="22" t="n"/>
      <c r="D154" s="23" t="n"/>
      <c r="I154" s="23" t="n"/>
      <c r="L154" s="22" t="n"/>
      <c r="Q154" s="23" t="n"/>
      <c r="R154" s="23" t="n"/>
      <c r="W154" s="23" t="n"/>
      <c r="AB154" s="23" t="n"/>
    </row>
    <row r="155">
      <c r="A155" s="22" t="n"/>
      <c r="B155" s="22" t="n"/>
      <c r="D155" s="23" t="n"/>
      <c r="I155" s="23" t="n"/>
      <c r="L155" s="22" t="n"/>
      <c r="Q155" s="23" t="n"/>
      <c r="R155" s="23" t="n"/>
      <c r="W155" s="23" t="n"/>
      <c r="AB155" s="23" t="n"/>
    </row>
    <row r="156">
      <c r="A156" s="22" t="n"/>
      <c r="B156" s="22" t="n"/>
      <c r="D156" s="23" t="n"/>
      <c r="I156" s="23" t="n"/>
      <c r="L156" s="22" t="n"/>
      <c r="Q156" s="23" t="n"/>
      <c r="R156" s="23" t="n"/>
      <c r="W156" s="23" t="n"/>
      <c r="AB156" s="23" t="n"/>
    </row>
    <row r="157">
      <c r="A157" s="22" t="n"/>
      <c r="B157" s="22" t="n"/>
      <c r="D157" s="23" t="n"/>
      <c r="I157" s="23" t="n"/>
      <c r="L157" s="22" t="n"/>
      <c r="Q157" s="23" t="n"/>
      <c r="R157" s="23" t="n"/>
      <c r="W157" s="23" t="n"/>
      <c r="AB157" s="23" t="n"/>
    </row>
    <row r="158">
      <c r="A158" s="22" t="n"/>
      <c r="B158" s="22" t="n"/>
      <c r="D158" s="23" t="n"/>
      <c r="I158" s="23" t="n"/>
      <c r="L158" s="22" t="n"/>
      <c r="Q158" s="23" t="n"/>
      <c r="R158" s="23" t="n"/>
      <c r="W158" s="23" t="n"/>
      <c r="AB158" s="23" t="n"/>
    </row>
    <row r="159">
      <c r="A159" s="22" t="n"/>
      <c r="B159" s="22" t="n"/>
      <c r="D159" s="23" t="n"/>
      <c r="I159" s="23" t="n"/>
      <c r="L159" s="22" t="n"/>
      <c r="Q159" s="23" t="n"/>
      <c r="R159" s="23" t="n"/>
      <c r="W159" s="23" t="n"/>
      <c r="AB159" s="23" t="n"/>
    </row>
    <row r="160">
      <c r="A160" s="22" t="n"/>
      <c r="B160" s="22" t="n"/>
      <c r="D160" s="23" t="n"/>
      <c r="I160" s="23" t="n"/>
      <c r="L160" s="22" t="n"/>
      <c r="Q160" s="23" t="n"/>
      <c r="R160" s="23" t="n"/>
      <c r="W160" s="23" t="n"/>
      <c r="AB160" s="23" t="n"/>
    </row>
    <row r="161">
      <c r="A161" s="22" t="n"/>
      <c r="B161" s="22" t="n"/>
      <c r="D161" s="23" t="n"/>
      <c r="I161" s="23" t="n"/>
      <c r="L161" s="22" t="n"/>
      <c r="Q161" s="23" t="n"/>
      <c r="R161" s="23" t="n"/>
      <c r="W161" s="23" t="n"/>
      <c r="AB161" s="23" t="n"/>
    </row>
    <row r="162">
      <c r="A162" s="22" t="n"/>
      <c r="B162" s="22" t="n"/>
      <c r="D162" s="23" t="n"/>
      <c r="I162" s="23" t="n"/>
      <c r="L162" s="22" t="n"/>
      <c r="Q162" s="23" t="n"/>
      <c r="R162" s="23" t="n"/>
      <c r="W162" s="23" t="n"/>
      <c r="AB162" s="23" t="n"/>
    </row>
    <row r="163">
      <c r="A163" s="22" t="n"/>
      <c r="B163" s="22" t="n"/>
      <c r="D163" s="23" t="n"/>
      <c r="I163" s="23" t="n"/>
      <c r="L163" s="22" t="n"/>
      <c r="Q163" s="23" t="n"/>
      <c r="R163" s="23" t="n"/>
      <c r="W163" s="23" t="n"/>
      <c r="AB163" s="23" t="n"/>
    </row>
    <row r="164">
      <c r="A164" s="22" t="n"/>
      <c r="B164" s="22" t="n"/>
      <c r="D164" s="23" t="n"/>
      <c r="I164" s="23" t="n"/>
      <c r="L164" s="22" t="n"/>
      <c r="Q164" s="23" t="n"/>
      <c r="R164" s="23" t="n"/>
      <c r="W164" s="23" t="n"/>
      <c r="AB164" s="23" t="n"/>
    </row>
    <row r="165">
      <c r="A165" s="22" t="n"/>
      <c r="B165" s="22" t="n"/>
      <c r="D165" s="23" t="n"/>
      <c r="I165" s="23" t="n"/>
      <c r="L165" s="22" t="n"/>
      <c r="Q165" s="23" t="n"/>
      <c r="R165" s="23" t="n"/>
      <c r="W165" s="23" t="n"/>
      <c r="AB165" s="23" t="n"/>
    </row>
    <row r="166">
      <c r="A166" s="22" t="n"/>
      <c r="B166" s="22" t="n"/>
      <c r="D166" s="23" t="n"/>
      <c r="I166" s="23" t="n"/>
      <c r="L166" s="22" t="n"/>
      <c r="Q166" s="23" t="n"/>
      <c r="R166" s="23" t="n"/>
      <c r="W166" s="23" t="n"/>
      <c r="AB166" s="23" t="n"/>
    </row>
    <row r="167">
      <c r="A167" s="22" t="n"/>
      <c r="B167" s="22" t="n"/>
      <c r="D167" s="23" t="n"/>
      <c r="I167" s="23" t="n"/>
      <c r="L167" s="22" t="n"/>
      <c r="Q167" s="23" t="n"/>
      <c r="R167" s="23" t="n"/>
      <c r="W167" s="23" t="n"/>
      <c r="AB167" s="23" t="n"/>
    </row>
    <row r="168">
      <c r="A168" s="22" t="n"/>
      <c r="B168" s="22" t="n"/>
      <c r="D168" s="23" t="n"/>
      <c r="I168" s="23" t="n"/>
      <c r="L168" s="22" t="n"/>
      <c r="Q168" s="23" t="n"/>
      <c r="R168" s="23" t="n"/>
      <c r="W168" s="23" t="n"/>
      <c r="AB168" s="23" t="n"/>
    </row>
    <row r="169">
      <c r="A169" s="22" t="n"/>
      <c r="B169" s="22" t="n"/>
      <c r="D169" s="23" t="n"/>
      <c r="I169" s="23" t="n"/>
      <c r="L169" s="22" t="n"/>
      <c r="Q169" s="23" t="n"/>
      <c r="R169" s="23" t="n"/>
      <c r="W169" s="23" t="n"/>
      <c r="AB169" s="23" t="n"/>
    </row>
    <row r="170">
      <c r="A170" s="22" t="n"/>
      <c r="B170" s="22" t="n"/>
      <c r="D170" s="23" t="n"/>
      <c r="I170" s="23" t="n"/>
      <c r="L170" s="22" t="n"/>
      <c r="Q170" s="23" t="n"/>
      <c r="R170" s="23" t="n"/>
      <c r="W170" s="23" t="n"/>
      <c r="AB170" s="23" t="n"/>
    </row>
    <row r="171">
      <c r="A171" s="22" t="n"/>
      <c r="B171" s="22" t="n"/>
      <c r="D171" s="23" t="n"/>
      <c r="I171" s="23" t="n"/>
      <c r="L171" s="22" t="n"/>
      <c r="Q171" s="23" t="n"/>
      <c r="R171" s="23" t="n"/>
      <c r="W171" s="23" t="n"/>
      <c r="AB171" s="23" t="n"/>
    </row>
    <row r="172">
      <c r="A172" s="22" t="n"/>
      <c r="B172" s="22" t="n"/>
      <c r="D172" s="23" t="n"/>
      <c r="I172" s="23" t="n"/>
      <c r="L172" s="22" t="n"/>
      <c r="Q172" s="23" t="n"/>
      <c r="R172" s="23" t="n"/>
      <c r="W172" s="23" t="n"/>
      <c r="AB172" s="23" t="n"/>
    </row>
    <row r="173">
      <c r="A173" s="22" t="n"/>
      <c r="B173" s="22" t="n"/>
      <c r="D173" s="23" t="n"/>
      <c r="I173" s="23" t="n"/>
      <c r="L173" s="22" t="n"/>
      <c r="Q173" s="23" t="n"/>
      <c r="R173" s="23" t="n"/>
      <c r="W173" s="23" t="n"/>
      <c r="AB173" s="23" t="n"/>
    </row>
    <row r="174">
      <c r="A174" s="22" t="n"/>
      <c r="B174" s="22" t="n"/>
      <c r="D174" s="23" t="n"/>
      <c r="I174" s="23" t="n"/>
      <c r="L174" s="22" t="n"/>
      <c r="Q174" s="23" t="n"/>
      <c r="R174" s="23" t="n"/>
      <c r="W174" s="23" t="n"/>
      <c r="AB174" s="23" t="n"/>
    </row>
    <row r="175">
      <c r="A175" s="22" t="n"/>
      <c r="B175" s="22" t="n"/>
      <c r="D175" s="23" t="n"/>
      <c r="I175" s="23" t="n"/>
      <c r="L175" s="22" t="n"/>
      <c r="Q175" s="23" t="n"/>
      <c r="R175" s="23" t="n"/>
      <c r="W175" s="23" t="n"/>
      <c r="AB175" s="23" t="n"/>
    </row>
    <row r="176">
      <c r="A176" s="22" t="n"/>
      <c r="B176" s="22" t="n"/>
      <c r="D176" s="23" t="n"/>
      <c r="I176" s="23" t="n"/>
      <c r="L176" s="22" t="n"/>
      <c r="Q176" s="23" t="n"/>
      <c r="R176" s="23" t="n"/>
      <c r="W176" s="23" t="n"/>
      <c r="AB176" s="23" t="n"/>
    </row>
    <row r="177">
      <c r="A177" s="22" t="n"/>
      <c r="B177" s="22" t="n"/>
      <c r="D177" s="23" t="n"/>
      <c r="I177" s="23" t="n"/>
      <c r="L177" s="22" t="n"/>
      <c r="Q177" s="23" t="n"/>
      <c r="R177" s="23" t="n"/>
      <c r="W177" s="23" t="n"/>
      <c r="AB177" s="23" t="n"/>
    </row>
    <row r="178">
      <c r="A178" s="22" t="n"/>
      <c r="B178" s="22" t="n"/>
      <c r="D178" s="23" t="n"/>
      <c r="I178" s="23" t="n"/>
      <c r="L178" s="22" t="n"/>
      <c r="Q178" s="23" t="n"/>
      <c r="R178" s="23" t="n"/>
      <c r="W178" s="23" t="n"/>
      <c r="AB178" s="23" t="n"/>
    </row>
    <row r="179">
      <c r="A179" s="22" t="n"/>
      <c r="B179" s="22" t="n"/>
      <c r="D179" s="23" t="n"/>
      <c r="I179" s="23" t="n"/>
      <c r="L179" s="22" t="n"/>
      <c r="Q179" s="23" t="n"/>
      <c r="R179" s="23" t="n"/>
      <c r="W179" s="23" t="n"/>
      <c r="AB179" s="23" t="n"/>
    </row>
    <row r="180">
      <c r="A180" s="22" t="n"/>
      <c r="B180" s="22" t="n"/>
      <c r="D180" s="23" t="n"/>
      <c r="I180" s="23" t="n"/>
      <c r="L180" s="22" t="n"/>
      <c r="Q180" s="23" t="n"/>
      <c r="R180" s="23" t="n"/>
      <c r="W180" s="23" t="n"/>
      <c r="AB180" s="23" t="n"/>
    </row>
    <row r="181">
      <c r="A181" s="22" t="n"/>
      <c r="B181" s="22" t="n"/>
      <c r="D181" s="23" t="n"/>
      <c r="I181" s="23" t="n"/>
      <c r="L181" s="22" t="n"/>
      <c r="Q181" s="23" t="n"/>
      <c r="R181" s="23" t="n"/>
      <c r="W181" s="23" t="n"/>
      <c r="AB181" s="23" t="n"/>
    </row>
    <row r="182">
      <c r="A182" s="22" t="n"/>
      <c r="B182" s="22" t="n"/>
      <c r="D182" s="23" t="n"/>
      <c r="I182" s="23" t="n"/>
      <c r="L182" s="22" t="n"/>
      <c r="Q182" s="23" t="n"/>
      <c r="R182" s="23" t="n"/>
      <c r="W182" s="23" t="n"/>
      <c r="AB182" s="23" t="n"/>
    </row>
    <row r="183">
      <c r="A183" s="22" t="n"/>
      <c r="B183" s="22" t="n"/>
      <c r="D183" s="23" t="n"/>
      <c r="I183" s="23" t="n"/>
      <c r="L183" s="22" t="n"/>
      <c r="Q183" s="23" t="n"/>
      <c r="R183" s="23" t="n"/>
      <c r="W183" s="23" t="n"/>
      <c r="AB183" s="23" t="n"/>
    </row>
    <row r="184">
      <c r="A184" s="22" t="n"/>
      <c r="B184" s="22" t="n"/>
      <c r="D184" s="23" t="n"/>
      <c r="I184" s="23" t="n"/>
      <c r="L184" s="22" t="n"/>
      <c r="Q184" s="23" t="n"/>
      <c r="R184" s="23" t="n"/>
      <c r="W184" s="23" t="n"/>
      <c r="AB184" s="23" t="n"/>
    </row>
    <row r="185">
      <c r="A185" s="22" t="n"/>
      <c r="B185" s="22" t="n"/>
      <c r="D185" s="23" t="n"/>
      <c r="I185" s="23" t="n"/>
      <c r="L185" s="22" t="n"/>
      <c r="Q185" s="23" t="n"/>
      <c r="R185" s="23" t="n"/>
      <c r="W185" s="23" t="n"/>
      <c r="AB185" s="23" t="n"/>
    </row>
    <row r="186">
      <c r="A186" s="22" t="n"/>
      <c r="B186" s="22" t="n"/>
      <c r="D186" s="23" t="n"/>
      <c r="I186" s="23" t="n"/>
      <c r="L186" s="22" t="n"/>
      <c r="Q186" s="23" t="n"/>
      <c r="R186" s="23" t="n"/>
      <c r="W186" s="23" t="n"/>
      <c r="AB186" s="23" t="n"/>
    </row>
    <row r="187">
      <c r="A187" s="22" t="n"/>
      <c r="B187" s="22" t="n"/>
      <c r="D187" s="23" t="n"/>
      <c r="I187" s="23" t="n"/>
      <c r="L187" s="22" t="n"/>
      <c r="Q187" s="23" t="n"/>
      <c r="R187" s="23" t="n"/>
      <c r="W187" s="23" t="n"/>
      <c r="AB187" s="23" t="n"/>
    </row>
    <row r="188">
      <c r="A188" s="22" t="n"/>
      <c r="B188" s="22" t="n"/>
      <c r="D188" s="23" t="n"/>
      <c r="I188" s="23" t="n"/>
      <c r="L188" s="22" t="n"/>
      <c r="Q188" s="23" t="n"/>
      <c r="R188" s="23" t="n"/>
      <c r="W188" s="23" t="n"/>
      <c r="AB188" s="23" t="n"/>
    </row>
    <row r="189">
      <c r="A189" s="22" t="n"/>
      <c r="B189" s="22" t="n"/>
      <c r="D189" s="23" t="n"/>
      <c r="I189" s="23" t="n"/>
      <c r="L189" s="22" t="n"/>
      <c r="Q189" s="23" t="n"/>
      <c r="R189" s="23" t="n"/>
      <c r="W189" s="23" t="n"/>
      <c r="AB189" s="23" t="n"/>
    </row>
    <row r="190">
      <c r="A190" s="22" t="n"/>
      <c r="B190" s="22" t="n"/>
      <c r="D190" s="23" t="n"/>
      <c r="I190" s="23" t="n"/>
      <c r="L190" s="22" t="n"/>
      <c r="Q190" s="23" t="n"/>
      <c r="R190" s="23" t="n"/>
      <c r="W190" s="23" t="n"/>
      <c r="AB190" s="23" t="n"/>
    </row>
    <row r="191">
      <c r="A191" s="22" t="n"/>
      <c r="B191" s="22" t="n"/>
      <c r="D191" s="23" t="n"/>
      <c r="I191" s="23" t="n"/>
      <c r="L191" s="22" t="n"/>
      <c r="Q191" s="23" t="n"/>
      <c r="R191" s="23" t="n"/>
      <c r="W191" s="23" t="n"/>
      <c r="AB191" s="23" t="n"/>
    </row>
    <row r="192">
      <c r="A192" s="22" t="n"/>
      <c r="B192" s="22" t="n"/>
      <c r="D192" s="23" t="n"/>
      <c r="I192" s="23" t="n"/>
      <c r="L192" s="22" t="n"/>
      <c r="Q192" s="23" t="n"/>
      <c r="R192" s="23" t="n"/>
      <c r="W192" s="23" t="n"/>
      <c r="AB192" s="23" t="n"/>
    </row>
    <row r="193">
      <c r="A193" s="22" t="n"/>
      <c r="B193" s="22" t="n"/>
      <c r="D193" s="23" t="n"/>
      <c r="I193" s="23" t="n"/>
      <c r="L193" s="22" t="n"/>
      <c r="Q193" s="23" t="n"/>
      <c r="R193" s="23" t="n"/>
      <c r="W193" s="23" t="n"/>
      <c r="AB193" s="23" t="n"/>
    </row>
    <row r="194">
      <c r="A194" s="22" t="n"/>
      <c r="B194" s="22" t="n"/>
      <c r="D194" s="23" t="n"/>
      <c r="I194" s="23" t="n"/>
      <c r="L194" s="22" t="n"/>
      <c r="Q194" s="23" t="n"/>
      <c r="R194" s="23" t="n"/>
      <c r="W194" s="23" t="n"/>
      <c r="AB194" s="23" t="n"/>
    </row>
    <row r="195">
      <c r="A195" s="22" t="n"/>
      <c r="B195" s="22" t="n"/>
      <c r="D195" s="23" t="n"/>
      <c r="I195" s="23" t="n"/>
      <c r="L195" s="22" t="n"/>
      <c r="Q195" s="23" t="n"/>
      <c r="R195" s="23" t="n"/>
      <c r="W195" s="23" t="n"/>
      <c r="AB195" s="23" t="n"/>
    </row>
    <row r="196">
      <c r="A196" s="22" t="n"/>
      <c r="B196" s="22" t="n"/>
      <c r="D196" s="23" t="n"/>
      <c r="I196" s="23" t="n"/>
      <c r="L196" s="22" t="n"/>
      <c r="Q196" s="23" t="n"/>
      <c r="R196" s="23" t="n"/>
      <c r="W196" s="23" t="n"/>
      <c r="AB196" s="23" t="n"/>
    </row>
    <row r="197">
      <c r="A197" s="22" t="n"/>
      <c r="B197" s="22" t="n"/>
      <c r="D197" s="23" t="n"/>
      <c r="I197" s="23" t="n"/>
      <c r="L197" s="22" t="n"/>
      <c r="Q197" s="23" t="n"/>
      <c r="R197" s="23" t="n"/>
      <c r="W197" s="23" t="n"/>
      <c r="AB197" s="23" t="n"/>
    </row>
    <row r="198">
      <c r="A198" s="22" t="n"/>
      <c r="B198" s="22" t="n"/>
      <c r="D198" s="23" t="n"/>
      <c r="I198" s="23" t="n"/>
      <c r="L198" s="22" t="n"/>
      <c r="Q198" s="23" t="n"/>
      <c r="R198" s="23" t="n"/>
      <c r="W198" s="23" t="n"/>
      <c r="AB198" s="23" t="n"/>
    </row>
    <row r="199">
      <c r="A199" s="22" t="n"/>
      <c r="B199" s="22" t="n"/>
      <c r="D199" s="23" t="n"/>
      <c r="I199" s="23" t="n"/>
      <c r="L199" s="22" t="n"/>
      <c r="Q199" s="23" t="n"/>
      <c r="R199" s="23" t="n"/>
      <c r="W199" s="23" t="n"/>
      <c r="AB199" s="23" t="n"/>
    </row>
  </sheetData>
  <dataValidations count="4">
    <dataValidation sqref="P2:P1000" showDropDown="0" showInputMessage="0" showErrorMessage="0" allowBlank="1" errorTitle="Not in list" error="Pick a value from the list" type="list">
      <formula1>"Submitted,Received,At lab,Analyzing,Results released,On hold"</formula1>
    </dataValidation>
    <dataValidation sqref="G2:G1000" showDropDown="0" showInputMessage="0" showErrorMessage="0" allowBlank="1" errorTitle="Not in list" error="Pick a value from the list" type="list">
      <formula1>"Y,N"</formula1>
    </dataValidation>
    <dataValidation sqref="U2:U1000" showDropDown="0" showInputMessage="0" showErrorMessage="0" allowBlank="1" errorTitle="Not a cost-share program" error="Pick a program from the Cost_Share tab" type="list">
      <formula1>Cost_Share!$A$2:$A$100</formula1>
    </dataValidation>
    <dataValidation sqref="V2:V1000" showDropDown="0" showInputMessage="0" showErrorMessage="0" allowBlank="1" errorTitle="Not in list" error="Pick a value from the list" type="list">
      <formula1>"Online,Paper"</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G199"/>
  <sheetViews>
    <sheetView zoomScale="110" workbookViewId="0">
      <pane xSplit="1" ySplit="1" topLeftCell="B2" activePane="bottomRight" state="frozen"/>
      <selection pane="topRight"/>
      <selection pane="bottomLeft"/>
      <selection pane="bottomRight" activeCell="A1" sqref="A1"/>
    </sheetView>
  </sheetViews>
  <sheetFormatPr baseColWidth="8" defaultRowHeight="15"/>
  <cols>
    <col width="17" customWidth="1" min="1" max="1"/>
    <col width="17.3" customWidth="1" min="2" max="2"/>
    <col width="12.9" customWidth="1" min="3" max="3"/>
    <col width="17" customWidth="1" min="4" max="4"/>
    <col width="18" customWidth="1" min="5" max="5"/>
    <col width="15.1" customWidth="1" min="6" max="6"/>
    <col width="6.300000000000001" customWidth="1" min="7" max="7"/>
    <col width="17.3" customWidth="1" min="8" max="8"/>
    <col width="10" customWidth="1" min="9" max="9"/>
    <col width="17.3" customWidth="1" min="10" max="10"/>
    <col width="16.2" customWidth="1" min="11" max="11"/>
    <col width="19.5" customWidth="1" min="12" max="12"/>
    <col width="18.4" customWidth="1" min="13" max="13"/>
    <col width="11.8" customWidth="1" min="14" max="14"/>
    <col width="11" customWidth="1" min="15" max="15"/>
    <col width="17.3" customWidth="1" min="16" max="16"/>
    <col width="16.2" customWidth="1" min="17" max="17"/>
    <col width="9.600000000000001" customWidth="1" min="18" max="18"/>
    <col width="30" customWidth="1" min="19" max="19"/>
    <col width="16" customWidth="1" min="20" max="20"/>
    <col width="15.1" customWidth="1" min="21" max="21"/>
    <col width="12.9" customWidth="1" min="22" max="22"/>
    <col width="25" customWidth="1" min="23" max="23"/>
    <col width="23.9" customWidth="1" min="24" max="24"/>
    <col width="12" customWidth="1" min="25" max="25"/>
    <col width="20" customWidth="1" min="26" max="26"/>
    <col width="18.4" customWidth="1" min="27" max="27"/>
    <col width="9.600000000000001" customWidth="1" min="28" max="28"/>
    <col width="23.9" customWidth="1" min="29" max="29"/>
    <col width="21.7" customWidth="1" min="30" max="30"/>
    <col width="14" customWidth="1" min="31" max="31"/>
    <col width="11.8" customWidth="1" min="32" max="32"/>
    <col width="13" customWidth="1" min="33" max="33"/>
  </cols>
  <sheetData>
    <row r="1" ht="24" customHeight="1">
      <c r="A1" s="18" t="inlineStr">
        <is>
          <t>Animal_Key</t>
        </is>
      </c>
      <c r="B1" s="18" t="inlineStr">
        <is>
          <t>Submission_ID</t>
        </is>
      </c>
      <c r="C1" s="18" t="inlineStr">
        <is>
          <t>Flock_Tag</t>
        </is>
      </c>
      <c r="D1" s="18" t="inlineStr">
        <is>
          <t>EID</t>
        </is>
      </c>
      <c r="E1" s="18" t="inlineStr">
        <is>
          <t>NSIP_ID</t>
        </is>
      </c>
      <c r="F1" s="18" t="inlineStr">
        <is>
          <t>TSU_Barcode</t>
        </is>
      </c>
      <c r="G1" s="18" t="inlineStr">
        <is>
          <t>Sex</t>
        </is>
      </c>
      <c r="H1" s="18" t="inlineStr">
        <is>
          <t>Year_of_Birth</t>
        </is>
      </c>
      <c r="I1" s="16" t="inlineStr">
        <is>
          <t>Role</t>
        </is>
      </c>
      <c r="J1" s="18" t="inlineStr">
        <is>
          <t>Reported_Sire</t>
        </is>
      </c>
      <c r="K1" s="18" t="inlineStr">
        <is>
          <t>Reported_Dam</t>
        </is>
      </c>
      <c r="L1" s="18" t="inlineStr">
        <is>
          <t>Test_Conditions</t>
        </is>
      </c>
      <c r="M1" s="18" t="inlineStr">
        <is>
          <t>Test_Parentage</t>
        </is>
      </c>
      <c r="N1" s="16" t="inlineStr">
        <is>
          <t>Received</t>
        </is>
      </c>
      <c r="O1" s="16" t="inlineStr">
        <is>
          <t>Batch</t>
        </is>
      </c>
      <c r="P1" s="16" t="inlineStr">
        <is>
          <t>Sample_Status</t>
        </is>
      </c>
      <c r="Q1" s="16" t="inlineStr">
        <is>
          <t>Replaced_TSU</t>
        </is>
      </c>
      <c r="R1" s="19" t="inlineStr">
        <is>
          <t>Photos</t>
        </is>
      </c>
      <c r="S1" s="16" t="inlineStr">
        <is>
          <t>Notes</t>
        </is>
      </c>
      <c r="T1" s="16" t="inlineStr">
        <is>
          <t>Received_By</t>
        </is>
      </c>
      <c r="U1" s="19" t="inlineStr">
        <is>
          <t>Producer_ID</t>
        </is>
      </c>
      <c r="V1" s="19" t="inlineStr">
        <is>
          <t>Genotyped</t>
        </is>
      </c>
      <c r="W1" s="19" t="inlineStr">
        <is>
          <t>Reported_Sire_Status</t>
        </is>
      </c>
      <c r="X1" s="19" t="inlineStr">
        <is>
          <t>Reported_Dam_Status</t>
        </is>
      </c>
      <c r="Y1" s="18" t="inlineStr">
        <is>
          <t>Breed</t>
        </is>
      </c>
      <c r="Z1" s="18" t="inlineStr">
        <is>
          <t>Birth_Flock</t>
        </is>
      </c>
      <c r="AA1" s="19" t="inlineStr">
        <is>
          <t>Age_At_Receipt</t>
        </is>
      </c>
      <c r="AB1" s="19" t="inlineStr">
        <is>
          <t>Proven</t>
        </is>
      </c>
      <c r="AC1" s="16" t="inlineStr">
        <is>
          <t>CS_Override_Program</t>
        </is>
      </c>
      <c r="AD1" s="16" t="inlineStr">
        <is>
          <t>CS_Override_Level</t>
        </is>
      </c>
      <c r="AE1" s="19" t="inlineStr">
        <is>
          <t>CS_Program</t>
        </is>
      </c>
      <c r="AF1" s="19" t="inlineStr">
        <is>
          <t>CS_Level</t>
        </is>
      </c>
      <c r="AG1" s="18" t="inlineStr">
        <is>
          <t>Billed_On</t>
        </is>
      </c>
    </row>
    <row r="2">
      <c r="A2" s="20" t="inlineStr">
        <is>
          <t>P002-01-PF01</t>
        </is>
      </c>
      <c r="B2" s="20" t="inlineStr">
        <is>
          <t>P002-01</t>
        </is>
      </c>
      <c r="C2" s="20" t="inlineStr">
        <is>
          <t>PF01</t>
        </is>
      </c>
      <c r="D2" s="20" t="inlineStr">
        <is>
          <t>840003307400001</t>
        </is>
      </c>
      <c r="E2" s="20" t="inlineStr">
        <is>
          <t>610014202225PF01</t>
        </is>
      </c>
      <c r="F2" s="20" t="inlineStr">
        <is>
          <t>NE05200301</t>
        </is>
      </c>
      <c r="G2" s="17" t="inlineStr">
        <is>
          <t>F</t>
        </is>
      </c>
      <c r="H2" s="20" t="inlineStr">
        <is>
          <t>2022</t>
        </is>
      </c>
      <c r="I2" s="17" t="inlineStr">
        <is>
          <t>Other</t>
        </is>
      </c>
      <c r="J2" s="20" t="inlineStr"/>
      <c r="K2" s="20" t="inlineStr"/>
      <c r="L2" s="17" t="inlineStr">
        <is>
          <t>Y</t>
        </is>
      </c>
      <c r="M2" s="17" t="inlineStr">
        <is>
          <t>N</t>
        </is>
      </c>
      <c r="N2" s="17" t="inlineStr">
        <is>
          <t>Y</t>
        </is>
      </c>
      <c r="O2" s="17" t="inlineStr">
        <is>
          <t>B2026-02</t>
        </is>
      </c>
      <c r="P2" s="17" t="inlineStr">
        <is>
          <t>At lab</t>
        </is>
      </c>
      <c r="Q2" s="17" t="inlineStr"/>
      <c r="R2" s="17">
        <f>COUNTIF(Photos!A:A,A2)</f>
        <v/>
      </c>
      <c r="S2" s="17" t="inlineStr"/>
      <c r="T2" s="17" t="inlineStr">
        <is>
          <t>[Staff name]</t>
        </is>
      </c>
      <c r="U2" s="17">
        <f>IFERROR(INDEX(Submissions!B:B,MATCH(B2,Submissions!A:A,0))&amp;"","")</f>
        <v/>
      </c>
      <c r="V2" s="17">
        <f>IF(P2="Complete","Y","N")</f>
        <v/>
      </c>
      <c r="W2" s="17">
        <f>IF(J2="","",IF(COUNTIFS(Candidate_Parents!A:A,U2,Candidate_Parents!C:C,J2)+COUNTIFS(Candidate_Parents!A:A,U2,Candidate_Parents!D:D,J2)+COUNTIFS(Candidate_Parents!A:A,U2,Candidate_Parents!E:E,J2)&gt;0,"Genotyped",IF(COUNTIFS(B:B,B2,C:C,J2,P:P,"&lt;&gt;Not received")&gt;0,"In this submission","Not genotyped")))</f>
        <v/>
      </c>
      <c r="X2" s="17">
        <f>IF(K2="","",IF(COUNTIFS(Candidate_Parents!A:A,U2,Candidate_Parents!C:C,K2)+COUNTIFS(Candidate_Parents!A:A,U2,Candidate_Parents!D:D,K2)+COUNTIFS(Candidate_Parents!A:A,U2,Candidate_Parents!E:E,K2)&gt;0,"Genotyped",IF(COUNTIFS(B:B,B2,C:C,K2,P:P,"&lt;&gt;Not received")&gt;0,"In this submission","Not genotyped")))</f>
        <v/>
      </c>
      <c r="Y2" s="17" t="inlineStr">
        <is>
          <t>Hampshire</t>
        </is>
      </c>
      <c r="Z2" s="17" t="inlineStr">
        <is>
          <t>Prairie Flock</t>
        </is>
      </c>
      <c r="AA2" s="17">
        <f>IF(H2="","",IFERROR(YEAR(IF(INDEX(Submissions!Q:Q,MATCH(B2,Submissions!A:A,0))="",TODAY(),INDEX(Submissions!Q:Q,MATCH(B2,Submissions!A:A,0))))-VALUE(LEFT(H2,4)),""))</f>
        <v/>
      </c>
      <c r="AB2" s="17">
        <f>IF(AA2="","",IF(AA2&gt;=INDEX(Settings!B:B,MATCH("Proven_Min_Age",Settings!A:A,0)),"Y","N"))</f>
        <v/>
      </c>
      <c r="AC2" s="17" t="inlineStr"/>
      <c r="AD2" s="17" t="inlineStr"/>
      <c r="AE2" s="17">
        <f>IF(IF(AC2&lt;&gt;"",AC2,IFERROR(INDEX(Submissions!U:U,MATCH(B2,Submissions!A:A,0))&amp;"",""))="","",IF(AND(IFERROR(INDEX(Cost_Share!H:H,MATCH(IF(AC2&lt;&gt;"",AC2,IFERROR(INDEX(Submissions!U:U,MATCH(B2,Submissions!A:A,0))&amp;"","")),Cost_Share!A:A,0))&amp;"","")="Y",E2=""),"",IF(AC2&lt;&gt;"",AC2,IFERROR(INDEX(Submissions!U:U,MATCH(B2,Submissions!A:A,0))&amp;"",""))))</f>
        <v/>
      </c>
      <c r="AF2" s="17">
        <f>IF(AE2="","None",IF(AD2&lt;&gt;"",AD2,IF(AB2="Y","Full","Partial")))</f>
        <v/>
      </c>
      <c r="AG2" s="17" t="inlineStr">
        <is>
          <t>INV-P002-01</t>
        </is>
      </c>
    </row>
    <row r="3">
      <c r="A3" s="20" t="inlineStr">
        <is>
          <t>P002-01-PF02</t>
        </is>
      </c>
      <c r="B3" s="20" t="inlineStr">
        <is>
          <t>P002-01</t>
        </is>
      </c>
      <c r="C3" s="20" t="inlineStr">
        <is>
          <t>PF02</t>
        </is>
      </c>
      <c r="D3" s="20" t="inlineStr">
        <is>
          <t>840003307400002</t>
        </is>
      </c>
      <c r="E3" s="20" t="inlineStr">
        <is>
          <t>610014202225PF02</t>
        </is>
      </c>
      <c r="F3" s="20" t="inlineStr">
        <is>
          <t>NE05200302</t>
        </is>
      </c>
      <c r="G3" s="17" t="inlineStr">
        <is>
          <t>M</t>
        </is>
      </c>
      <c r="H3" s="20" t="inlineStr">
        <is>
          <t>2023</t>
        </is>
      </c>
      <c r="I3" s="17" t="inlineStr">
        <is>
          <t>Other</t>
        </is>
      </c>
      <c r="J3" s="20" t="inlineStr"/>
      <c r="K3" s="20" t="inlineStr"/>
      <c r="L3" s="17" t="inlineStr">
        <is>
          <t>Y</t>
        </is>
      </c>
      <c r="M3" s="17" t="inlineStr">
        <is>
          <t>N</t>
        </is>
      </c>
      <c r="N3" s="17" t="inlineStr">
        <is>
          <t>Y</t>
        </is>
      </c>
      <c r="O3" s="17" t="inlineStr">
        <is>
          <t>B2026-02</t>
        </is>
      </c>
      <c r="P3" s="17" t="inlineStr">
        <is>
          <t>At lab</t>
        </is>
      </c>
      <c r="Q3" s="17" t="inlineStr"/>
      <c r="R3" s="17">
        <f>COUNTIF(Photos!A:A,A3)</f>
        <v/>
      </c>
      <c r="S3" s="17" t="inlineStr"/>
      <c r="T3" s="17" t="inlineStr">
        <is>
          <t>[Staff name]</t>
        </is>
      </c>
      <c r="U3" s="17">
        <f>IFERROR(INDEX(Submissions!B:B,MATCH(B3,Submissions!A:A,0))&amp;"","")</f>
        <v/>
      </c>
      <c r="V3" s="17">
        <f>IF(P3="Complete","Y","N")</f>
        <v/>
      </c>
      <c r="W3" s="17">
        <f>IF(J3="","",IF(COUNTIFS(Candidate_Parents!A:A,U3,Candidate_Parents!C:C,J3)+COUNTIFS(Candidate_Parents!A:A,U3,Candidate_Parents!D:D,J3)+COUNTIFS(Candidate_Parents!A:A,U3,Candidate_Parents!E:E,J3)&gt;0,"Genotyped",IF(COUNTIFS(B:B,B3,C:C,J3,P:P,"&lt;&gt;Not received")&gt;0,"In this submission","Not genotyped")))</f>
        <v/>
      </c>
      <c r="X3" s="17">
        <f>IF(K3="","",IF(COUNTIFS(Candidate_Parents!A:A,U3,Candidate_Parents!C:C,K3)+COUNTIFS(Candidate_Parents!A:A,U3,Candidate_Parents!D:D,K3)+COUNTIFS(Candidate_Parents!A:A,U3,Candidate_Parents!E:E,K3)&gt;0,"Genotyped",IF(COUNTIFS(B:B,B3,C:C,K3,P:P,"&lt;&gt;Not received")&gt;0,"In this submission","Not genotyped")))</f>
        <v/>
      </c>
      <c r="Y3" s="17" t="inlineStr">
        <is>
          <t>Hampshire</t>
        </is>
      </c>
      <c r="Z3" s="17" t="inlineStr">
        <is>
          <t>Prairie Flock</t>
        </is>
      </c>
      <c r="AA3" s="17">
        <f>IF(H3="","",IFERROR(YEAR(IF(INDEX(Submissions!Q:Q,MATCH(B3,Submissions!A:A,0))="",TODAY(),INDEX(Submissions!Q:Q,MATCH(B3,Submissions!A:A,0))))-VALUE(LEFT(H3,4)),""))</f>
        <v/>
      </c>
      <c r="AB3" s="17">
        <f>IF(AA3="","",IF(AA3&gt;=INDEX(Settings!B:B,MATCH("Proven_Min_Age",Settings!A:A,0)),"Y","N"))</f>
        <v/>
      </c>
      <c r="AC3" s="17" t="inlineStr"/>
      <c r="AD3" s="17" t="inlineStr"/>
      <c r="AE3" s="17">
        <f>IF(IF(AC3&lt;&gt;"",AC3,IFERROR(INDEX(Submissions!U:U,MATCH(B3,Submissions!A:A,0))&amp;"",""))="","",IF(AND(IFERROR(INDEX(Cost_Share!H:H,MATCH(IF(AC3&lt;&gt;"",AC3,IFERROR(INDEX(Submissions!U:U,MATCH(B3,Submissions!A:A,0))&amp;"","")),Cost_Share!A:A,0))&amp;"","")="Y",E3=""),"",IF(AC3&lt;&gt;"",AC3,IFERROR(INDEX(Submissions!U:U,MATCH(B3,Submissions!A:A,0))&amp;"",""))))</f>
        <v/>
      </c>
      <c r="AF3" s="17">
        <f>IF(AE3="","None",IF(AD3&lt;&gt;"",AD3,IF(AB3="Y","Full","Partial")))</f>
        <v/>
      </c>
      <c r="AG3" s="17" t="inlineStr">
        <is>
          <t>INV-P002-01</t>
        </is>
      </c>
    </row>
    <row r="4">
      <c r="A4" s="20" t="inlineStr">
        <is>
          <t>P002-01-PF03</t>
        </is>
      </c>
      <c r="B4" s="20" t="inlineStr">
        <is>
          <t>P002-01</t>
        </is>
      </c>
      <c r="C4" s="20" t="inlineStr">
        <is>
          <t>PF03</t>
        </is>
      </c>
      <c r="D4" s="20" t="inlineStr">
        <is>
          <t>840003307400003</t>
        </is>
      </c>
      <c r="E4" s="20" t="inlineStr">
        <is>
          <t>610014202325PF03</t>
        </is>
      </c>
      <c r="F4" s="20" t="inlineStr">
        <is>
          <t>NE05200303</t>
        </is>
      </c>
      <c r="G4" s="17" t="inlineStr">
        <is>
          <t>F</t>
        </is>
      </c>
      <c r="H4" s="20" t="inlineStr">
        <is>
          <t>2025</t>
        </is>
      </c>
      <c r="I4" s="17" t="inlineStr">
        <is>
          <t>Other</t>
        </is>
      </c>
      <c r="J4" s="20" t="inlineStr"/>
      <c r="K4" s="20" t="inlineStr"/>
      <c r="L4" s="17" t="inlineStr">
        <is>
          <t>Y</t>
        </is>
      </c>
      <c r="M4" s="17" t="inlineStr">
        <is>
          <t>N</t>
        </is>
      </c>
      <c r="N4" s="17" t="inlineStr">
        <is>
          <t>Y</t>
        </is>
      </c>
      <c r="O4" s="17" t="inlineStr">
        <is>
          <t>B2026-02</t>
        </is>
      </c>
      <c r="P4" s="17" t="inlineStr">
        <is>
          <t>At lab</t>
        </is>
      </c>
      <c r="Q4" s="17" t="inlineStr"/>
      <c r="R4" s="17">
        <f>COUNTIF(Photos!A:A,A4)</f>
        <v/>
      </c>
      <c r="S4" s="17" t="inlineStr"/>
      <c r="T4" s="17" t="inlineStr">
        <is>
          <t>[Staff name]</t>
        </is>
      </c>
      <c r="U4" s="17">
        <f>IFERROR(INDEX(Submissions!B:B,MATCH(B4,Submissions!A:A,0))&amp;"","")</f>
        <v/>
      </c>
      <c r="V4" s="17">
        <f>IF(P4="Complete","Y","N")</f>
        <v/>
      </c>
      <c r="W4" s="17">
        <f>IF(J4="","",IF(COUNTIFS(Candidate_Parents!A:A,U4,Candidate_Parents!C:C,J4)+COUNTIFS(Candidate_Parents!A:A,U4,Candidate_Parents!D:D,J4)+COUNTIFS(Candidate_Parents!A:A,U4,Candidate_Parents!E:E,J4)&gt;0,"Genotyped",IF(COUNTIFS(B:B,B4,C:C,J4,P:P,"&lt;&gt;Not received")&gt;0,"In this submission","Not genotyped")))</f>
        <v/>
      </c>
      <c r="X4" s="17">
        <f>IF(K4="","",IF(COUNTIFS(Candidate_Parents!A:A,U4,Candidate_Parents!C:C,K4)+COUNTIFS(Candidate_Parents!A:A,U4,Candidate_Parents!D:D,K4)+COUNTIFS(Candidate_Parents!A:A,U4,Candidate_Parents!E:E,K4)&gt;0,"Genotyped",IF(COUNTIFS(B:B,B4,C:C,K4,P:P,"&lt;&gt;Not received")&gt;0,"In this submission","Not genotyped")))</f>
        <v/>
      </c>
      <c r="Y4" s="17" t="inlineStr">
        <is>
          <t>Hampshire</t>
        </is>
      </c>
      <c r="Z4" s="17" t="inlineStr">
        <is>
          <t>Prairie Flock</t>
        </is>
      </c>
      <c r="AA4" s="17">
        <f>IF(H4="","",IFERROR(YEAR(IF(INDEX(Submissions!Q:Q,MATCH(B4,Submissions!A:A,0))="",TODAY(),INDEX(Submissions!Q:Q,MATCH(B4,Submissions!A:A,0))))-VALUE(LEFT(H4,4)),""))</f>
        <v/>
      </c>
      <c r="AB4" s="17">
        <f>IF(AA4="","",IF(AA4&gt;=INDEX(Settings!B:B,MATCH("Proven_Min_Age",Settings!A:A,0)),"Y","N"))</f>
        <v/>
      </c>
      <c r="AC4" s="17" t="inlineStr"/>
      <c r="AD4" s="17" t="inlineStr"/>
      <c r="AE4" s="17">
        <f>IF(IF(AC4&lt;&gt;"",AC4,IFERROR(INDEX(Submissions!U:U,MATCH(B4,Submissions!A:A,0))&amp;"",""))="","",IF(AND(IFERROR(INDEX(Cost_Share!H:H,MATCH(IF(AC4&lt;&gt;"",AC4,IFERROR(INDEX(Submissions!U:U,MATCH(B4,Submissions!A:A,0))&amp;"","")),Cost_Share!A:A,0))&amp;"","")="Y",E4=""),"",IF(AC4&lt;&gt;"",AC4,IFERROR(INDEX(Submissions!U:U,MATCH(B4,Submissions!A:A,0))&amp;"",""))))</f>
        <v/>
      </c>
      <c r="AF4" s="17">
        <f>IF(AE4="","None",IF(AD4&lt;&gt;"",AD4,IF(AB4="Y","Full","Partial")))</f>
        <v/>
      </c>
      <c r="AG4" s="17" t="inlineStr">
        <is>
          <t>INV-P002-01</t>
        </is>
      </c>
    </row>
    <row r="5">
      <c r="A5" s="20" t="inlineStr">
        <is>
          <t>P002-01-PF04</t>
        </is>
      </c>
      <c r="B5" s="20" t="inlineStr">
        <is>
          <t>P002-01</t>
        </is>
      </c>
      <c r="C5" s="20" t="inlineStr">
        <is>
          <t>PF04</t>
        </is>
      </c>
      <c r="D5" s="20" t="inlineStr">
        <is>
          <t>840003307400004</t>
        </is>
      </c>
      <c r="E5" s="20" t="inlineStr">
        <is>
          <t>610014202325PF04</t>
        </is>
      </c>
      <c r="F5" s="20" t="inlineStr">
        <is>
          <t>NE05200304</t>
        </is>
      </c>
      <c r="G5" s="17" t="inlineStr">
        <is>
          <t>M</t>
        </is>
      </c>
      <c r="H5" s="20" t="inlineStr">
        <is>
          <t>2025</t>
        </is>
      </c>
      <c r="I5" s="17" t="inlineStr">
        <is>
          <t>Other</t>
        </is>
      </c>
      <c r="J5" s="20" t="inlineStr"/>
      <c r="K5" s="20" t="inlineStr"/>
      <c r="L5" s="17" t="inlineStr">
        <is>
          <t>Y</t>
        </is>
      </c>
      <c r="M5" s="17" t="inlineStr">
        <is>
          <t>N</t>
        </is>
      </c>
      <c r="N5" s="17" t="inlineStr">
        <is>
          <t>Y</t>
        </is>
      </c>
      <c r="O5" s="17" t="inlineStr">
        <is>
          <t>B2026-02</t>
        </is>
      </c>
      <c r="P5" s="17" t="inlineStr">
        <is>
          <t>At lab</t>
        </is>
      </c>
      <c r="Q5" s="17" t="inlineStr"/>
      <c r="R5" s="17">
        <f>COUNTIF(Photos!A:A,A5)</f>
        <v/>
      </c>
      <c r="S5" s="17" t="inlineStr"/>
      <c r="T5" s="17" t="inlineStr">
        <is>
          <t>[Staff name]</t>
        </is>
      </c>
      <c r="U5" s="17">
        <f>IFERROR(INDEX(Submissions!B:B,MATCH(B5,Submissions!A:A,0))&amp;"","")</f>
        <v/>
      </c>
      <c r="V5" s="17">
        <f>IF(P5="Complete","Y","N")</f>
        <v/>
      </c>
      <c r="W5" s="17">
        <f>IF(J5="","",IF(COUNTIFS(Candidate_Parents!A:A,U5,Candidate_Parents!C:C,J5)+COUNTIFS(Candidate_Parents!A:A,U5,Candidate_Parents!D:D,J5)+COUNTIFS(Candidate_Parents!A:A,U5,Candidate_Parents!E:E,J5)&gt;0,"Genotyped",IF(COUNTIFS(B:B,B5,C:C,J5,P:P,"&lt;&gt;Not received")&gt;0,"In this submission","Not genotyped")))</f>
        <v/>
      </c>
      <c r="X5" s="17">
        <f>IF(K5="","",IF(COUNTIFS(Candidate_Parents!A:A,U5,Candidate_Parents!C:C,K5)+COUNTIFS(Candidate_Parents!A:A,U5,Candidate_Parents!D:D,K5)+COUNTIFS(Candidate_Parents!A:A,U5,Candidate_Parents!E:E,K5)&gt;0,"Genotyped",IF(COUNTIFS(B:B,B5,C:C,K5,P:P,"&lt;&gt;Not received")&gt;0,"In this submission","Not genotyped")))</f>
        <v/>
      </c>
      <c r="Y5" s="17" t="inlineStr">
        <is>
          <t>Hampshire</t>
        </is>
      </c>
      <c r="Z5" s="17" t="inlineStr">
        <is>
          <t>Prairie Flock</t>
        </is>
      </c>
      <c r="AA5" s="17">
        <f>IF(H5="","",IFERROR(YEAR(IF(INDEX(Submissions!Q:Q,MATCH(B5,Submissions!A:A,0))="",TODAY(),INDEX(Submissions!Q:Q,MATCH(B5,Submissions!A:A,0))))-VALUE(LEFT(H5,4)),""))</f>
        <v/>
      </c>
      <c r="AB5" s="17">
        <f>IF(AA5="","",IF(AA5&gt;=INDEX(Settings!B:B,MATCH("Proven_Min_Age",Settings!A:A,0)),"Y","N"))</f>
        <v/>
      </c>
      <c r="AC5" s="17" t="inlineStr"/>
      <c r="AD5" s="17" t="inlineStr">
        <is>
          <t>Full</t>
        </is>
      </c>
      <c r="AE5" s="17">
        <f>IF(IF(AC5&lt;&gt;"",AC5,IFERROR(INDEX(Submissions!U:U,MATCH(B5,Submissions!A:A,0))&amp;"",""))="","",IF(AND(IFERROR(INDEX(Cost_Share!H:H,MATCH(IF(AC5&lt;&gt;"",AC5,IFERROR(INDEX(Submissions!U:U,MATCH(B5,Submissions!A:A,0))&amp;"","")),Cost_Share!A:A,0))&amp;"","")="Y",E5=""),"",IF(AC5&lt;&gt;"",AC5,IFERROR(INDEX(Submissions!U:U,MATCH(B5,Submissions!A:A,0))&amp;"",""))))</f>
        <v/>
      </c>
      <c r="AF5" s="17">
        <f>IF(AE5="","None",IF(AD5&lt;&gt;"",AD5,IF(AB5="Y","Full","Partial")))</f>
        <v/>
      </c>
      <c r="AG5" s="17" t="inlineStr">
        <is>
          <t>INV-P002-01</t>
        </is>
      </c>
    </row>
    <row r="6">
      <c r="A6" s="20" t="inlineStr">
        <is>
          <t>P002-01-PF05</t>
        </is>
      </c>
      <c r="B6" s="20" t="inlineStr">
        <is>
          <t>P002-01</t>
        </is>
      </c>
      <c r="C6" s="20" t="inlineStr">
        <is>
          <t>PF05</t>
        </is>
      </c>
      <c r="D6" s="20" t="inlineStr">
        <is>
          <t>840003307400005</t>
        </is>
      </c>
      <c r="E6" s="20" t="inlineStr"/>
      <c r="F6" s="20" t="inlineStr">
        <is>
          <t>NE05200305</t>
        </is>
      </c>
      <c r="G6" s="17" t="inlineStr">
        <is>
          <t>F</t>
        </is>
      </c>
      <c r="H6" s="20" t="inlineStr">
        <is>
          <t>2025</t>
        </is>
      </c>
      <c r="I6" s="17" t="inlineStr">
        <is>
          <t>Other</t>
        </is>
      </c>
      <c r="J6" s="20" t="inlineStr"/>
      <c r="K6" s="20" t="inlineStr"/>
      <c r="L6" s="17" t="inlineStr">
        <is>
          <t>Y</t>
        </is>
      </c>
      <c r="M6" s="17" t="inlineStr">
        <is>
          <t>N</t>
        </is>
      </c>
      <c r="N6" s="17" t="inlineStr">
        <is>
          <t>Y</t>
        </is>
      </c>
      <c r="O6" s="17" t="inlineStr">
        <is>
          <t>B2026-02</t>
        </is>
      </c>
      <c r="P6" s="17" t="inlineStr">
        <is>
          <t>At lab</t>
        </is>
      </c>
      <c r="Q6" s="17" t="inlineStr"/>
      <c r="R6" s="17">
        <f>COUNTIF(Photos!A:A,A6)</f>
        <v/>
      </c>
      <c r="S6" s="17" t="inlineStr"/>
      <c r="T6" s="17" t="inlineStr">
        <is>
          <t>[Staff name]</t>
        </is>
      </c>
      <c r="U6" s="17">
        <f>IFERROR(INDEX(Submissions!B:B,MATCH(B6,Submissions!A:A,0))&amp;"","")</f>
        <v/>
      </c>
      <c r="V6" s="17">
        <f>IF(P6="Complete","Y","N")</f>
        <v/>
      </c>
      <c r="W6" s="17">
        <f>IF(J6="","",IF(COUNTIFS(Candidate_Parents!A:A,U6,Candidate_Parents!C:C,J6)+COUNTIFS(Candidate_Parents!A:A,U6,Candidate_Parents!D:D,J6)+COUNTIFS(Candidate_Parents!A:A,U6,Candidate_Parents!E:E,J6)&gt;0,"Genotyped",IF(COUNTIFS(B:B,B6,C:C,J6,P:P,"&lt;&gt;Not received")&gt;0,"In this submission","Not genotyped")))</f>
        <v/>
      </c>
      <c r="X6" s="17">
        <f>IF(K6="","",IF(COUNTIFS(Candidate_Parents!A:A,U6,Candidate_Parents!C:C,K6)+COUNTIFS(Candidate_Parents!A:A,U6,Candidate_Parents!D:D,K6)+COUNTIFS(Candidate_Parents!A:A,U6,Candidate_Parents!E:E,K6)&gt;0,"Genotyped",IF(COUNTIFS(B:B,B6,C:C,K6,P:P,"&lt;&gt;Not received")&gt;0,"In this submission","Not genotyped")))</f>
        <v/>
      </c>
      <c r="Y6" s="17" t="inlineStr">
        <is>
          <t>Hampshire</t>
        </is>
      </c>
      <c r="Z6" s="17" t="inlineStr">
        <is>
          <t>Prairie Flock</t>
        </is>
      </c>
      <c r="AA6" s="17">
        <f>IF(H6="","",IFERROR(YEAR(IF(INDEX(Submissions!Q:Q,MATCH(B6,Submissions!A:A,0))="",TODAY(),INDEX(Submissions!Q:Q,MATCH(B6,Submissions!A:A,0))))-VALUE(LEFT(H6,4)),""))</f>
        <v/>
      </c>
      <c r="AB6" s="17">
        <f>IF(AA6="","",IF(AA6&gt;=INDEX(Settings!B:B,MATCH("Proven_Min_Age",Settings!A:A,0)),"Y","N"))</f>
        <v/>
      </c>
      <c r="AC6" s="17" t="inlineStr">
        <is>
          <t>GR01</t>
        </is>
      </c>
      <c r="AD6" s="17" t="inlineStr">
        <is>
          <t>Full</t>
        </is>
      </c>
      <c r="AE6" s="17">
        <f>IF(IF(AC6&lt;&gt;"",AC6,IFERROR(INDEX(Submissions!U:U,MATCH(B6,Submissions!A:A,0))&amp;"",""))="","",IF(AND(IFERROR(INDEX(Cost_Share!H:H,MATCH(IF(AC6&lt;&gt;"",AC6,IFERROR(INDEX(Submissions!U:U,MATCH(B6,Submissions!A:A,0))&amp;"","")),Cost_Share!A:A,0))&amp;"","")="Y",E6=""),"",IF(AC6&lt;&gt;"",AC6,IFERROR(INDEX(Submissions!U:U,MATCH(B6,Submissions!A:A,0))&amp;"",""))))</f>
        <v/>
      </c>
      <c r="AF6" s="17">
        <f>IF(AE6="","None",IF(AD6&lt;&gt;"",AD6,IF(AB6="Y","Full","Partial")))</f>
        <v/>
      </c>
      <c r="AG6" s="17" t="inlineStr">
        <is>
          <t>INV-P002-01</t>
        </is>
      </c>
    </row>
    <row r="7">
      <c r="A7" s="20" t="inlineStr">
        <is>
          <t>P003-01-26001</t>
        </is>
      </c>
      <c r="B7" s="20" t="inlineStr">
        <is>
          <t>P003-01</t>
        </is>
      </c>
      <c r="C7" s="20" t="inlineStr">
        <is>
          <t>26001</t>
        </is>
      </c>
      <c r="D7" s="20" t="inlineStr">
        <is>
          <t>840003307100001</t>
        </is>
      </c>
      <c r="E7" s="20" t="inlineStr">
        <is>
          <t>610014202626T001</t>
        </is>
      </c>
      <c r="F7" s="20" t="inlineStr">
        <is>
          <t>NE05200001</t>
        </is>
      </c>
      <c r="G7" s="17" t="inlineStr">
        <is>
          <t>M</t>
        </is>
      </c>
      <c r="H7" s="20" t="inlineStr">
        <is>
          <t>2026</t>
        </is>
      </c>
      <c r="I7" s="17" t="inlineStr">
        <is>
          <t>Offspring</t>
        </is>
      </c>
      <c r="J7" s="20" t="inlineStr">
        <is>
          <t>23015</t>
        </is>
      </c>
      <c r="K7" s="20" t="inlineStr"/>
      <c r="L7" s="17" t="inlineStr">
        <is>
          <t>Y</t>
        </is>
      </c>
      <c r="M7" s="17" t="inlineStr">
        <is>
          <t>Y</t>
        </is>
      </c>
      <c r="N7" s="17" t="inlineStr">
        <is>
          <t>Y</t>
        </is>
      </c>
      <c r="O7" s="17" t="inlineStr">
        <is>
          <t>B2026-01</t>
        </is>
      </c>
      <c r="P7" s="17" t="inlineStr">
        <is>
          <t>Complete</t>
        </is>
      </c>
      <c r="Q7" s="17" t="inlineStr"/>
      <c r="R7" s="17">
        <f>COUNTIF(Photos!A:A,A7)</f>
        <v/>
      </c>
      <c r="S7" s="17" t="inlineStr"/>
      <c r="T7" s="17" t="inlineStr">
        <is>
          <t>[Staff name]</t>
        </is>
      </c>
      <c r="U7" s="17">
        <f>IFERROR(INDEX(Submissions!B:B,MATCH(B7,Submissions!A:A,0))&amp;"","")</f>
        <v/>
      </c>
      <c r="V7" s="17">
        <f>IF(P7="Complete","Y","N")</f>
        <v/>
      </c>
      <c r="W7" s="17">
        <f>IF(J7="","",IF(COUNTIFS(Candidate_Parents!A:A,U7,Candidate_Parents!C:C,J7)+COUNTIFS(Candidate_Parents!A:A,U7,Candidate_Parents!D:D,J7)+COUNTIFS(Candidate_Parents!A:A,U7,Candidate_Parents!E:E,J7)&gt;0,"Genotyped",IF(COUNTIFS(B:B,B7,C:C,J7,P:P,"&lt;&gt;Not received")&gt;0,"In this submission","Not genotyped")))</f>
        <v/>
      </c>
      <c r="X7" s="17">
        <f>IF(K7="","",IF(COUNTIFS(Candidate_Parents!A:A,U7,Candidate_Parents!C:C,K7)+COUNTIFS(Candidate_Parents!A:A,U7,Candidate_Parents!D:D,K7)+COUNTIFS(Candidate_Parents!A:A,U7,Candidate_Parents!E:E,K7)&gt;0,"Genotyped",IF(COUNTIFS(B:B,B7,C:C,K7,P:P,"&lt;&gt;Not received")&gt;0,"In this submission","Not genotyped")))</f>
        <v/>
      </c>
      <c r="Y7" s="17" t="inlineStr">
        <is>
          <t>Targhee</t>
        </is>
      </c>
      <c r="Z7" s="17" t="inlineStr">
        <is>
          <t>Smith Ranch</t>
        </is>
      </c>
      <c r="AA7" s="17">
        <f>IF(H7="","",IFERROR(YEAR(IF(INDEX(Submissions!Q:Q,MATCH(B7,Submissions!A:A,0))="",TODAY(),INDEX(Submissions!Q:Q,MATCH(B7,Submissions!A:A,0))))-VALUE(LEFT(H7,4)),""))</f>
        <v/>
      </c>
      <c r="AB7" s="17">
        <f>IF(AA7="","",IF(AA7&gt;=INDEX(Settings!B:B,MATCH("Proven_Min_Age",Settings!A:A,0)),"Y","N"))</f>
        <v/>
      </c>
      <c r="AC7" s="17" t="inlineStr"/>
      <c r="AD7" s="17" t="inlineStr"/>
      <c r="AE7" s="17">
        <f>IF(IF(AC7&lt;&gt;"",AC7,IFERROR(INDEX(Submissions!U:U,MATCH(B7,Submissions!A:A,0))&amp;"",""))="","",IF(AND(IFERROR(INDEX(Cost_Share!H:H,MATCH(IF(AC7&lt;&gt;"",AC7,IFERROR(INDEX(Submissions!U:U,MATCH(B7,Submissions!A:A,0))&amp;"","")),Cost_Share!A:A,0))&amp;"","")="Y",E7=""),"",IF(AC7&lt;&gt;"",AC7,IFERROR(INDEX(Submissions!U:U,MATCH(B7,Submissions!A:A,0))&amp;"",""))))</f>
        <v/>
      </c>
      <c r="AF7" s="17">
        <f>IF(AE7="","None",IF(AD7&lt;&gt;"",AD7,IF(AB7="Y","Full","Partial")))</f>
        <v/>
      </c>
      <c r="AG7" s="17" t="inlineStr">
        <is>
          <t>INV-P003-01</t>
        </is>
      </c>
    </row>
    <row r="8">
      <c r="A8" s="20" t="inlineStr">
        <is>
          <t>P003-01-26002</t>
        </is>
      </c>
      <c r="B8" s="20" t="inlineStr">
        <is>
          <t>P003-01</t>
        </is>
      </c>
      <c r="C8" s="20" t="inlineStr">
        <is>
          <t>26002</t>
        </is>
      </c>
      <c r="D8" s="20" t="inlineStr">
        <is>
          <t>840003307100002</t>
        </is>
      </c>
      <c r="E8" s="20" t="inlineStr">
        <is>
          <t>610014202626T002</t>
        </is>
      </c>
      <c r="F8" s="20" t="inlineStr">
        <is>
          <t>NE05200002</t>
        </is>
      </c>
      <c r="G8" s="17" t="inlineStr">
        <is>
          <t>F</t>
        </is>
      </c>
      <c r="H8" s="20" t="inlineStr">
        <is>
          <t>2026</t>
        </is>
      </c>
      <c r="I8" s="17" t="inlineStr">
        <is>
          <t>Offspring</t>
        </is>
      </c>
      <c r="J8" s="20" t="inlineStr">
        <is>
          <t>23015</t>
        </is>
      </c>
      <c r="K8" s="20" t="inlineStr"/>
      <c r="L8" s="17" t="inlineStr">
        <is>
          <t>Y</t>
        </is>
      </c>
      <c r="M8" s="17" t="inlineStr">
        <is>
          <t>Y</t>
        </is>
      </c>
      <c r="N8" s="17" t="inlineStr">
        <is>
          <t>Y</t>
        </is>
      </c>
      <c r="O8" s="17" t="inlineStr">
        <is>
          <t>B2026-01</t>
        </is>
      </c>
      <c r="P8" s="17" t="inlineStr">
        <is>
          <t>Complete</t>
        </is>
      </c>
      <c r="Q8" s="17" t="inlineStr"/>
      <c r="R8" s="17">
        <f>COUNTIF(Photos!A:A,A8)</f>
        <v/>
      </c>
      <c r="S8" s="17" t="inlineStr"/>
      <c r="T8" s="17" t="inlineStr">
        <is>
          <t>[Staff name]</t>
        </is>
      </c>
      <c r="U8" s="17">
        <f>IFERROR(INDEX(Submissions!B:B,MATCH(B8,Submissions!A:A,0))&amp;"","")</f>
        <v/>
      </c>
      <c r="V8" s="17">
        <f>IF(P8="Complete","Y","N")</f>
        <v/>
      </c>
      <c r="W8" s="17">
        <f>IF(J8="","",IF(COUNTIFS(Candidate_Parents!A:A,U8,Candidate_Parents!C:C,J8)+COUNTIFS(Candidate_Parents!A:A,U8,Candidate_Parents!D:D,J8)+COUNTIFS(Candidate_Parents!A:A,U8,Candidate_Parents!E:E,J8)&gt;0,"Genotyped",IF(COUNTIFS(B:B,B8,C:C,J8,P:P,"&lt;&gt;Not received")&gt;0,"In this submission","Not genotyped")))</f>
        <v/>
      </c>
      <c r="X8" s="17">
        <f>IF(K8="","",IF(COUNTIFS(Candidate_Parents!A:A,U8,Candidate_Parents!C:C,K8)+COUNTIFS(Candidate_Parents!A:A,U8,Candidate_Parents!D:D,K8)+COUNTIFS(Candidate_Parents!A:A,U8,Candidate_Parents!E:E,K8)&gt;0,"Genotyped",IF(COUNTIFS(B:B,B8,C:C,K8,P:P,"&lt;&gt;Not received")&gt;0,"In this submission","Not genotyped")))</f>
        <v/>
      </c>
      <c r="Y8" s="17" t="inlineStr">
        <is>
          <t>Targhee</t>
        </is>
      </c>
      <c r="Z8" s="17" t="inlineStr">
        <is>
          <t>Smith Ranch</t>
        </is>
      </c>
      <c r="AA8" s="17">
        <f>IF(H8="","",IFERROR(YEAR(IF(INDEX(Submissions!Q:Q,MATCH(B8,Submissions!A:A,0))="",TODAY(),INDEX(Submissions!Q:Q,MATCH(B8,Submissions!A:A,0))))-VALUE(LEFT(H8,4)),""))</f>
        <v/>
      </c>
      <c r="AB8" s="17">
        <f>IF(AA8="","",IF(AA8&gt;=INDEX(Settings!B:B,MATCH("Proven_Min_Age",Settings!A:A,0)),"Y","N"))</f>
        <v/>
      </c>
      <c r="AC8" s="17" t="inlineStr"/>
      <c r="AD8" s="17" t="inlineStr"/>
      <c r="AE8" s="17">
        <f>IF(IF(AC8&lt;&gt;"",AC8,IFERROR(INDEX(Submissions!U:U,MATCH(B8,Submissions!A:A,0))&amp;"",""))="","",IF(AND(IFERROR(INDEX(Cost_Share!H:H,MATCH(IF(AC8&lt;&gt;"",AC8,IFERROR(INDEX(Submissions!U:U,MATCH(B8,Submissions!A:A,0))&amp;"","")),Cost_Share!A:A,0))&amp;"","")="Y",E8=""),"",IF(AC8&lt;&gt;"",AC8,IFERROR(INDEX(Submissions!U:U,MATCH(B8,Submissions!A:A,0))&amp;"",""))))</f>
        <v/>
      </c>
      <c r="AF8" s="17">
        <f>IF(AE8="","None",IF(AD8&lt;&gt;"",AD8,IF(AB8="Y","Full","Partial")))</f>
        <v/>
      </c>
      <c r="AG8" s="17" t="inlineStr">
        <is>
          <t>INV-P003-01</t>
        </is>
      </c>
    </row>
    <row r="9">
      <c r="A9" s="20" t="inlineStr">
        <is>
          <t>P003-01-26003</t>
        </is>
      </c>
      <c r="B9" s="20" t="inlineStr">
        <is>
          <t>P003-01</t>
        </is>
      </c>
      <c r="C9" s="20" t="inlineStr">
        <is>
          <t>26003</t>
        </is>
      </c>
      <c r="D9" s="20" t="inlineStr">
        <is>
          <t>840003307100003</t>
        </is>
      </c>
      <c r="E9" s="20" t="inlineStr">
        <is>
          <t>610014202626T003</t>
        </is>
      </c>
      <c r="F9" s="20" t="inlineStr">
        <is>
          <t>NE05200003</t>
        </is>
      </c>
      <c r="G9" s="17" t="inlineStr">
        <is>
          <t>M</t>
        </is>
      </c>
      <c r="H9" s="20" t="inlineStr">
        <is>
          <t>2026</t>
        </is>
      </c>
      <c r="I9" s="17" t="inlineStr">
        <is>
          <t>Offspring</t>
        </is>
      </c>
      <c r="J9" s="20" t="inlineStr">
        <is>
          <t>23015</t>
        </is>
      </c>
      <c r="K9" s="20" t="inlineStr"/>
      <c r="L9" s="17" t="inlineStr">
        <is>
          <t>Y</t>
        </is>
      </c>
      <c r="M9" s="17" t="inlineStr">
        <is>
          <t>Y</t>
        </is>
      </c>
      <c r="N9" s="17" t="inlineStr">
        <is>
          <t>Y</t>
        </is>
      </c>
      <c r="O9" s="17" t="inlineStr">
        <is>
          <t>B2026-01</t>
        </is>
      </c>
      <c r="P9" s="17" t="inlineStr">
        <is>
          <t>Complete</t>
        </is>
      </c>
      <c r="Q9" s="17" t="inlineStr"/>
      <c r="R9" s="17">
        <f>COUNTIF(Photos!A:A,A9)</f>
        <v/>
      </c>
      <c r="S9" s="17" t="inlineStr"/>
      <c r="T9" s="17" t="inlineStr">
        <is>
          <t>[Staff name]</t>
        </is>
      </c>
      <c r="U9" s="17">
        <f>IFERROR(INDEX(Submissions!B:B,MATCH(B9,Submissions!A:A,0))&amp;"","")</f>
        <v/>
      </c>
      <c r="V9" s="17">
        <f>IF(P9="Complete","Y","N")</f>
        <v/>
      </c>
      <c r="W9" s="17">
        <f>IF(J9="","",IF(COUNTIFS(Candidate_Parents!A:A,U9,Candidate_Parents!C:C,J9)+COUNTIFS(Candidate_Parents!A:A,U9,Candidate_Parents!D:D,J9)+COUNTIFS(Candidate_Parents!A:A,U9,Candidate_Parents!E:E,J9)&gt;0,"Genotyped",IF(COUNTIFS(B:B,B9,C:C,J9,P:P,"&lt;&gt;Not received")&gt;0,"In this submission","Not genotyped")))</f>
        <v/>
      </c>
      <c r="X9" s="17">
        <f>IF(K9="","",IF(COUNTIFS(Candidate_Parents!A:A,U9,Candidate_Parents!C:C,K9)+COUNTIFS(Candidate_Parents!A:A,U9,Candidate_Parents!D:D,K9)+COUNTIFS(Candidate_Parents!A:A,U9,Candidate_Parents!E:E,K9)&gt;0,"Genotyped",IF(COUNTIFS(B:B,B9,C:C,K9,P:P,"&lt;&gt;Not received")&gt;0,"In this submission","Not genotyped")))</f>
        <v/>
      </c>
      <c r="Y9" s="17" t="inlineStr">
        <is>
          <t>Targhee</t>
        </is>
      </c>
      <c r="Z9" s="17" t="inlineStr">
        <is>
          <t>Smith Ranch</t>
        </is>
      </c>
      <c r="AA9" s="17">
        <f>IF(H9="","",IFERROR(YEAR(IF(INDEX(Submissions!Q:Q,MATCH(B9,Submissions!A:A,0))="",TODAY(),INDEX(Submissions!Q:Q,MATCH(B9,Submissions!A:A,0))))-VALUE(LEFT(H9,4)),""))</f>
        <v/>
      </c>
      <c r="AB9" s="17">
        <f>IF(AA9="","",IF(AA9&gt;=INDEX(Settings!B:B,MATCH("Proven_Min_Age",Settings!A:A,0)),"Y","N"))</f>
        <v/>
      </c>
      <c r="AC9" s="17" t="inlineStr"/>
      <c r="AD9" s="17" t="inlineStr"/>
      <c r="AE9" s="17">
        <f>IF(IF(AC9&lt;&gt;"",AC9,IFERROR(INDEX(Submissions!U:U,MATCH(B9,Submissions!A:A,0))&amp;"",""))="","",IF(AND(IFERROR(INDEX(Cost_Share!H:H,MATCH(IF(AC9&lt;&gt;"",AC9,IFERROR(INDEX(Submissions!U:U,MATCH(B9,Submissions!A:A,0))&amp;"","")),Cost_Share!A:A,0))&amp;"","")="Y",E9=""),"",IF(AC9&lt;&gt;"",AC9,IFERROR(INDEX(Submissions!U:U,MATCH(B9,Submissions!A:A,0))&amp;"",""))))</f>
        <v/>
      </c>
      <c r="AF9" s="17">
        <f>IF(AE9="","None",IF(AD9&lt;&gt;"",AD9,IF(AB9="Y","Full","Partial")))</f>
        <v/>
      </c>
      <c r="AG9" s="17" t="inlineStr">
        <is>
          <t>INV-P003-01</t>
        </is>
      </c>
    </row>
    <row r="10">
      <c r="A10" s="20" t="inlineStr">
        <is>
          <t>P003-01-26004</t>
        </is>
      </c>
      <c r="B10" s="20" t="inlineStr">
        <is>
          <t>P003-01</t>
        </is>
      </c>
      <c r="C10" s="20" t="inlineStr">
        <is>
          <t>26004</t>
        </is>
      </c>
      <c r="D10" s="20" t="inlineStr">
        <is>
          <t>840003307100004</t>
        </is>
      </c>
      <c r="E10" s="20" t="inlineStr">
        <is>
          <t>610014202626T004</t>
        </is>
      </c>
      <c r="F10" s="20" t="inlineStr">
        <is>
          <t>NE05200004</t>
        </is>
      </c>
      <c r="G10" s="17" t="inlineStr">
        <is>
          <t>F</t>
        </is>
      </c>
      <c r="H10" s="20" t="inlineStr">
        <is>
          <t>2026</t>
        </is>
      </c>
      <c r="I10" s="17" t="inlineStr">
        <is>
          <t>Offspring</t>
        </is>
      </c>
      <c r="J10" s="20" t="inlineStr">
        <is>
          <t>23015</t>
        </is>
      </c>
      <c r="K10" s="20" t="inlineStr"/>
      <c r="L10" s="17" t="inlineStr">
        <is>
          <t>Y</t>
        </is>
      </c>
      <c r="M10" s="17" t="inlineStr">
        <is>
          <t>Y</t>
        </is>
      </c>
      <c r="N10" s="17" t="inlineStr">
        <is>
          <t>Y</t>
        </is>
      </c>
      <c r="O10" s="17" t="inlineStr">
        <is>
          <t>B2026-01</t>
        </is>
      </c>
      <c r="P10" s="17" t="inlineStr">
        <is>
          <t>Complete</t>
        </is>
      </c>
      <c r="Q10" s="17" t="inlineStr"/>
      <c r="R10" s="17">
        <f>COUNTIF(Photos!A:A,A10)</f>
        <v/>
      </c>
      <c r="S10" s="17" t="inlineStr"/>
      <c r="T10" s="17" t="inlineStr">
        <is>
          <t>[Staff name]</t>
        </is>
      </c>
      <c r="U10" s="17">
        <f>IFERROR(INDEX(Submissions!B:B,MATCH(B10,Submissions!A:A,0))&amp;"","")</f>
        <v/>
      </c>
      <c r="V10" s="17">
        <f>IF(P10="Complete","Y","N")</f>
        <v/>
      </c>
      <c r="W10" s="17">
        <f>IF(J10="","",IF(COUNTIFS(Candidate_Parents!A:A,U10,Candidate_Parents!C:C,J10)+COUNTIFS(Candidate_Parents!A:A,U10,Candidate_Parents!D:D,J10)+COUNTIFS(Candidate_Parents!A:A,U10,Candidate_Parents!E:E,J10)&gt;0,"Genotyped",IF(COUNTIFS(B:B,B10,C:C,J10,P:P,"&lt;&gt;Not received")&gt;0,"In this submission","Not genotyped")))</f>
        <v/>
      </c>
      <c r="X10" s="17">
        <f>IF(K10="","",IF(COUNTIFS(Candidate_Parents!A:A,U10,Candidate_Parents!C:C,K10)+COUNTIFS(Candidate_Parents!A:A,U10,Candidate_Parents!D:D,K10)+COUNTIFS(Candidate_Parents!A:A,U10,Candidate_Parents!E:E,K10)&gt;0,"Genotyped",IF(COUNTIFS(B:B,B10,C:C,K10,P:P,"&lt;&gt;Not received")&gt;0,"In this submission","Not genotyped")))</f>
        <v/>
      </c>
      <c r="Y10" s="17" t="inlineStr">
        <is>
          <t>Targhee</t>
        </is>
      </c>
      <c r="Z10" s="17" t="inlineStr">
        <is>
          <t>Smith Ranch</t>
        </is>
      </c>
      <c r="AA10" s="17">
        <f>IF(H10="","",IFERROR(YEAR(IF(INDEX(Submissions!Q:Q,MATCH(B10,Submissions!A:A,0))="",TODAY(),INDEX(Submissions!Q:Q,MATCH(B10,Submissions!A:A,0))))-VALUE(LEFT(H10,4)),""))</f>
        <v/>
      </c>
      <c r="AB10" s="17">
        <f>IF(AA10="","",IF(AA10&gt;=INDEX(Settings!B:B,MATCH("Proven_Min_Age",Settings!A:A,0)),"Y","N"))</f>
        <v/>
      </c>
      <c r="AC10" s="17" t="inlineStr"/>
      <c r="AD10" s="17" t="inlineStr"/>
      <c r="AE10" s="17">
        <f>IF(IF(AC10&lt;&gt;"",AC10,IFERROR(INDEX(Submissions!U:U,MATCH(B10,Submissions!A:A,0))&amp;"",""))="","",IF(AND(IFERROR(INDEX(Cost_Share!H:H,MATCH(IF(AC10&lt;&gt;"",AC10,IFERROR(INDEX(Submissions!U:U,MATCH(B10,Submissions!A:A,0))&amp;"","")),Cost_Share!A:A,0))&amp;"","")="Y",E10=""),"",IF(AC10&lt;&gt;"",AC10,IFERROR(INDEX(Submissions!U:U,MATCH(B10,Submissions!A:A,0))&amp;"",""))))</f>
        <v/>
      </c>
      <c r="AF10" s="17">
        <f>IF(AE10="","None",IF(AD10&lt;&gt;"",AD10,IF(AB10="Y","Full","Partial")))</f>
        <v/>
      </c>
      <c r="AG10" s="17" t="inlineStr">
        <is>
          <t>INV-P003-01</t>
        </is>
      </c>
    </row>
    <row r="11">
      <c r="A11" s="20" t="inlineStr">
        <is>
          <t>P003-01-26005</t>
        </is>
      </c>
      <c r="B11" s="20" t="inlineStr">
        <is>
          <t>P003-01</t>
        </is>
      </c>
      <c r="C11" s="20" t="inlineStr">
        <is>
          <t>26005</t>
        </is>
      </c>
      <c r="D11" s="20" t="inlineStr">
        <is>
          <t>840003307100005</t>
        </is>
      </c>
      <c r="E11" s="20" t="inlineStr">
        <is>
          <t>610014202626T005</t>
        </is>
      </c>
      <c r="F11" s="20" t="inlineStr">
        <is>
          <t>NE05200005</t>
        </is>
      </c>
      <c r="G11" s="17" t="inlineStr">
        <is>
          <t>M</t>
        </is>
      </c>
      <c r="H11" s="20" t="inlineStr">
        <is>
          <t>2026</t>
        </is>
      </c>
      <c r="I11" s="17" t="inlineStr">
        <is>
          <t>Offspring</t>
        </is>
      </c>
      <c r="J11" s="20" t="inlineStr">
        <is>
          <t>23015</t>
        </is>
      </c>
      <c r="K11" s="20" t="inlineStr"/>
      <c r="L11" s="17" t="inlineStr">
        <is>
          <t>Y</t>
        </is>
      </c>
      <c r="M11" s="17" t="inlineStr">
        <is>
          <t>Y</t>
        </is>
      </c>
      <c r="N11" s="17" t="inlineStr">
        <is>
          <t>Y</t>
        </is>
      </c>
      <c r="O11" s="17" t="inlineStr">
        <is>
          <t>B2026-01</t>
        </is>
      </c>
      <c r="P11" s="17" t="inlineStr">
        <is>
          <t>Complete</t>
        </is>
      </c>
      <c r="Q11" s="17" t="inlineStr"/>
      <c r="R11" s="17">
        <f>COUNTIF(Photos!A:A,A11)</f>
        <v/>
      </c>
      <c r="S11" s="17" t="inlineStr"/>
      <c r="T11" s="17" t="inlineStr">
        <is>
          <t>[Staff name]</t>
        </is>
      </c>
      <c r="U11" s="17">
        <f>IFERROR(INDEX(Submissions!B:B,MATCH(B11,Submissions!A:A,0))&amp;"","")</f>
        <v/>
      </c>
      <c r="V11" s="17">
        <f>IF(P11="Complete","Y","N")</f>
        <v/>
      </c>
      <c r="W11" s="17">
        <f>IF(J11="","",IF(COUNTIFS(Candidate_Parents!A:A,U11,Candidate_Parents!C:C,J11)+COUNTIFS(Candidate_Parents!A:A,U11,Candidate_Parents!D:D,J11)+COUNTIFS(Candidate_Parents!A:A,U11,Candidate_Parents!E:E,J11)&gt;0,"Genotyped",IF(COUNTIFS(B:B,B11,C:C,J11,P:P,"&lt;&gt;Not received")&gt;0,"In this submission","Not genotyped")))</f>
        <v/>
      </c>
      <c r="X11" s="17">
        <f>IF(K11="","",IF(COUNTIFS(Candidate_Parents!A:A,U11,Candidate_Parents!C:C,K11)+COUNTIFS(Candidate_Parents!A:A,U11,Candidate_Parents!D:D,K11)+COUNTIFS(Candidate_Parents!A:A,U11,Candidate_Parents!E:E,K11)&gt;0,"Genotyped",IF(COUNTIFS(B:B,B11,C:C,K11,P:P,"&lt;&gt;Not received")&gt;0,"In this submission","Not genotyped")))</f>
        <v/>
      </c>
      <c r="Y11" s="17" t="inlineStr">
        <is>
          <t>Targhee</t>
        </is>
      </c>
      <c r="Z11" s="17" t="inlineStr">
        <is>
          <t>Smith Ranch</t>
        </is>
      </c>
      <c r="AA11" s="17">
        <f>IF(H11="","",IFERROR(YEAR(IF(INDEX(Submissions!Q:Q,MATCH(B11,Submissions!A:A,0))="",TODAY(),INDEX(Submissions!Q:Q,MATCH(B11,Submissions!A:A,0))))-VALUE(LEFT(H11,4)),""))</f>
        <v/>
      </c>
      <c r="AB11" s="17">
        <f>IF(AA11="","",IF(AA11&gt;=INDEX(Settings!B:B,MATCH("Proven_Min_Age",Settings!A:A,0)),"Y","N"))</f>
        <v/>
      </c>
      <c r="AC11" s="17" t="inlineStr"/>
      <c r="AD11" s="17" t="inlineStr"/>
      <c r="AE11" s="17">
        <f>IF(IF(AC11&lt;&gt;"",AC11,IFERROR(INDEX(Submissions!U:U,MATCH(B11,Submissions!A:A,0))&amp;"",""))="","",IF(AND(IFERROR(INDEX(Cost_Share!H:H,MATCH(IF(AC11&lt;&gt;"",AC11,IFERROR(INDEX(Submissions!U:U,MATCH(B11,Submissions!A:A,0))&amp;"","")),Cost_Share!A:A,0))&amp;"","")="Y",E11=""),"",IF(AC11&lt;&gt;"",AC11,IFERROR(INDEX(Submissions!U:U,MATCH(B11,Submissions!A:A,0))&amp;"",""))))</f>
        <v/>
      </c>
      <c r="AF11" s="17">
        <f>IF(AE11="","None",IF(AD11&lt;&gt;"",AD11,IF(AB11="Y","Full","Partial")))</f>
        <v/>
      </c>
      <c r="AG11" s="17" t="inlineStr">
        <is>
          <t>INV-P003-01</t>
        </is>
      </c>
    </row>
    <row r="12">
      <c r="A12" s="20" t="inlineStr">
        <is>
          <t>P003-01-26006</t>
        </is>
      </c>
      <c r="B12" s="20" t="inlineStr">
        <is>
          <t>P003-01</t>
        </is>
      </c>
      <c r="C12" s="20" t="inlineStr">
        <is>
          <t>26006</t>
        </is>
      </c>
      <c r="D12" s="20" t="inlineStr">
        <is>
          <t>840003307100006</t>
        </is>
      </c>
      <c r="E12" s="20" t="inlineStr">
        <is>
          <t>610014202626T006</t>
        </is>
      </c>
      <c r="F12" s="20" t="inlineStr">
        <is>
          <t>NE05200006</t>
        </is>
      </c>
      <c r="G12" s="17" t="inlineStr">
        <is>
          <t>F</t>
        </is>
      </c>
      <c r="H12" s="20" t="inlineStr">
        <is>
          <t>2026</t>
        </is>
      </c>
      <c r="I12" s="17" t="inlineStr">
        <is>
          <t>Offspring</t>
        </is>
      </c>
      <c r="J12" s="20" t="inlineStr">
        <is>
          <t>23015</t>
        </is>
      </c>
      <c r="K12" s="20" t="inlineStr"/>
      <c r="L12" s="17" t="inlineStr">
        <is>
          <t>Y</t>
        </is>
      </c>
      <c r="M12" s="17" t="inlineStr">
        <is>
          <t>Y</t>
        </is>
      </c>
      <c r="N12" s="17" t="inlineStr">
        <is>
          <t>Y</t>
        </is>
      </c>
      <c r="O12" s="17" t="inlineStr">
        <is>
          <t>B2026-01</t>
        </is>
      </c>
      <c r="P12" s="17" t="inlineStr">
        <is>
          <t>Complete</t>
        </is>
      </c>
      <c r="Q12" s="17" t="inlineStr"/>
      <c r="R12" s="17">
        <f>COUNTIF(Photos!A:A,A12)</f>
        <v/>
      </c>
      <c r="S12" s="17" t="inlineStr"/>
      <c r="T12" s="17" t="inlineStr">
        <is>
          <t>[Staff name]</t>
        </is>
      </c>
      <c r="U12" s="17">
        <f>IFERROR(INDEX(Submissions!B:B,MATCH(B12,Submissions!A:A,0))&amp;"","")</f>
        <v/>
      </c>
      <c r="V12" s="17">
        <f>IF(P12="Complete","Y","N")</f>
        <v/>
      </c>
      <c r="W12" s="17">
        <f>IF(J12="","",IF(COUNTIFS(Candidate_Parents!A:A,U12,Candidate_Parents!C:C,J12)+COUNTIFS(Candidate_Parents!A:A,U12,Candidate_Parents!D:D,J12)+COUNTIFS(Candidate_Parents!A:A,U12,Candidate_Parents!E:E,J12)&gt;0,"Genotyped",IF(COUNTIFS(B:B,B12,C:C,J12,P:P,"&lt;&gt;Not received")&gt;0,"In this submission","Not genotyped")))</f>
        <v/>
      </c>
      <c r="X12" s="17">
        <f>IF(K12="","",IF(COUNTIFS(Candidate_Parents!A:A,U12,Candidate_Parents!C:C,K12)+COUNTIFS(Candidate_Parents!A:A,U12,Candidate_Parents!D:D,K12)+COUNTIFS(Candidate_Parents!A:A,U12,Candidate_Parents!E:E,K12)&gt;0,"Genotyped",IF(COUNTIFS(B:B,B12,C:C,K12,P:P,"&lt;&gt;Not received")&gt;0,"In this submission","Not genotyped")))</f>
        <v/>
      </c>
      <c r="Y12" s="17" t="inlineStr">
        <is>
          <t>Targhee</t>
        </is>
      </c>
      <c r="Z12" s="17" t="inlineStr">
        <is>
          <t>Smith Ranch</t>
        </is>
      </c>
      <c r="AA12" s="17">
        <f>IF(H12="","",IFERROR(YEAR(IF(INDEX(Submissions!Q:Q,MATCH(B12,Submissions!A:A,0))="",TODAY(),INDEX(Submissions!Q:Q,MATCH(B12,Submissions!A:A,0))))-VALUE(LEFT(H12,4)),""))</f>
        <v/>
      </c>
      <c r="AB12" s="17">
        <f>IF(AA12="","",IF(AA12&gt;=INDEX(Settings!B:B,MATCH("Proven_Min_Age",Settings!A:A,0)),"Y","N"))</f>
        <v/>
      </c>
      <c r="AC12" s="17" t="inlineStr"/>
      <c r="AD12" s="17" t="inlineStr"/>
      <c r="AE12" s="17">
        <f>IF(IF(AC12&lt;&gt;"",AC12,IFERROR(INDEX(Submissions!U:U,MATCH(B12,Submissions!A:A,0))&amp;"",""))="","",IF(AND(IFERROR(INDEX(Cost_Share!H:H,MATCH(IF(AC12&lt;&gt;"",AC12,IFERROR(INDEX(Submissions!U:U,MATCH(B12,Submissions!A:A,0))&amp;"","")),Cost_Share!A:A,0))&amp;"","")="Y",E12=""),"",IF(AC12&lt;&gt;"",AC12,IFERROR(INDEX(Submissions!U:U,MATCH(B12,Submissions!A:A,0))&amp;"",""))))</f>
        <v/>
      </c>
      <c r="AF12" s="17">
        <f>IF(AE12="","None",IF(AD12&lt;&gt;"",AD12,IF(AB12="Y","Full","Partial")))</f>
        <v/>
      </c>
      <c r="AG12" s="17" t="inlineStr">
        <is>
          <t>INV-P003-01</t>
        </is>
      </c>
    </row>
    <row r="13">
      <c r="A13" s="20" t="inlineStr">
        <is>
          <t>P003-01-26007</t>
        </is>
      </c>
      <c r="B13" s="20" t="inlineStr">
        <is>
          <t>P003-01</t>
        </is>
      </c>
      <c r="C13" s="20" t="inlineStr">
        <is>
          <t>26007</t>
        </is>
      </c>
      <c r="D13" s="20" t="inlineStr">
        <is>
          <t>840003307100007</t>
        </is>
      </c>
      <c r="E13" s="20" t="inlineStr">
        <is>
          <t>610014202626T007</t>
        </is>
      </c>
      <c r="F13" s="20" t="inlineStr">
        <is>
          <t>NE05200099</t>
        </is>
      </c>
      <c r="G13" s="17" t="inlineStr">
        <is>
          <t>M</t>
        </is>
      </c>
      <c r="H13" s="20" t="inlineStr">
        <is>
          <t>2026</t>
        </is>
      </c>
      <c r="I13" s="17" t="inlineStr">
        <is>
          <t>Offspring</t>
        </is>
      </c>
      <c r="J13" s="20" t="inlineStr">
        <is>
          <t>23015</t>
        </is>
      </c>
      <c r="K13" s="20" t="inlineStr"/>
      <c r="L13" s="17" t="inlineStr">
        <is>
          <t>Y</t>
        </is>
      </c>
      <c r="M13" s="17" t="inlineStr">
        <is>
          <t>Y</t>
        </is>
      </c>
      <c r="N13" s="17" t="inlineStr">
        <is>
          <t>Y</t>
        </is>
      </c>
      <c r="O13" s="17" t="inlineStr"/>
      <c r="P13" s="17" t="inlineStr">
        <is>
          <t>Awaiting replacement</t>
        </is>
      </c>
      <c r="Q13" s="17" t="inlineStr">
        <is>
          <t>NE05200007</t>
        </is>
      </c>
      <c r="R13" s="17">
        <f>COUNTIF(Photos!A:A,A13)</f>
        <v/>
      </c>
      <c r="S13" s="17" t="inlineStr">
        <is>
          <t>Replacement P003-01-R1 on its way</t>
        </is>
      </c>
      <c r="T13" s="17" t="inlineStr">
        <is>
          <t>[Staff name]</t>
        </is>
      </c>
      <c r="U13" s="17">
        <f>IFERROR(INDEX(Submissions!B:B,MATCH(B13,Submissions!A:A,0))&amp;"","")</f>
        <v/>
      </c>
      <c r="V13" s="17">
        <f>IF(P13="Complete","Y","N")</f>
        <v/>
      </c>
      <c r="W13" s="17">
        <f>IF(J13="","",IF(COUNTIFS(Candidate_Parents!A:A,U13,Candidate_Parents!C:C,J13)+COUNTIFS(Candidate_Parents!A:A,U13,Candidate_Parents!D:D,J13)+COUNTIFS(Candidate_Parents!A:A,U13,Candidate_Parents!E:E,J13)&gt;0,"Genotyped",IF(COUNTIFS(B:B,B13,C:C,J13,P:P,"&lt;&gt;Not received")&gt;0,"In this submission","Not genotyped")))</f>
        <v/>
      </c>
      <c r="X13" s="17">
        <f>IF(K13="","",IF(COUNTIFS(Candidate_Parents!A:A,U13,Candidate_Parents!C:C,K13)+COUNTIFS(Candidate_Parents!A:A,U13,Candidate_Parents!D:D,K13)+COUNTIFS(Candidate_Parents!A:A,U13,Candidate_Parents!E:E,K13)&gt;0,"Genotyped",IF(COUNTIFS(B:B,B13,C:C,K13,P:P,"&lt;&gt;Not received")&gt;0,"In this submission","Not genotyped")))</f>
        <v/>
      </c>
      <c r="Y13" s="17" t="inlineStr">
        <is>
          <t>Targhee</t>
        </is>
      </c>
      <c r="Z13" s="17" t="inlineStr">
        <is>
          <t>Smith Ranch</t>
        </is>
      </c>
      <c r="AA13" s="17">
        <f>IF(H13="","",IFERROR(YEAR(IF(INDEX(Submissions!Q:Q,MATCH(B13,Submissions!A:A,0))="",TODAY(),INDEX(Submissions!Q:Q,MATCH(B13,Submissions!A:A,0))))-VALUE(LEFT(H13,4)),""))</f>
        <v/>
      </c>
      <c r="AB13" s="17">
        <f>IF(AA13="","",IF(AA13&gt;=INDEX(Settings!B:B,MATCH("Proven_Min_Age",Settings!A:A,0)),"Y","N"))</f>
        <v/>
      </c>
      <c r="AC13" s="17" t="inlineStr"/>
      <c r="AD13" s="17" t="inlineStr"/>
      <c r="AE13" s="17">
        <f>IF(IF(AC13&lt;&gt;"",AC13,IFERROR(INDEX(Submissions!U:U,MATCH(B13,Submissions!A:A,0))&amp;"",""))="","",IF(AND(IFERROR(INDEX(Cost_Share!H:H,MATCH(IF(AC13&lt;&gt;"",AC13,IFERROR(INDEX(Submissions!U:U,MATCH(B13,Submissions!A:A,0))&amp;"","")),Cost_Share!A:A,0))&amp;"","")="Y",E13=""),"",IF(AC13&lt;&gt;"",AC13,IFERROR(INDEX(Submissions!U:U,MATCH(B13,Submissions!A:A,0))&amp;"",""))))</f>
        <v/>
      </c>
      <c r="AF13" s="17">
        <f>IF(AE13="","None",IF(AD13&lt;&gt;"",AD13,IF(AB13="Y","Full","Partial")))</f>
        <v/>
      </c>
      <c r="AG13" s="17" t="inlineStr">
        <is>
          <t>INV-P003-01</t>
        </is>
      </c>
    </row>
    <row r="14">
      <c r="A14" s="20" t="inlineStr">
        <is>
          <t>P003-01-26008</t>
        </is>
      </c>
      <c r="B14" s="20" t="inlineStr">
        <is>
          <t>P003-01</t>
        </is>
      </c>
      <c r="C14" s="20" t="inlineStr">
        <is>
          <t>26008</t>
        </is>
      </c>
      <c r="D14" s="20" t="inlineStr">
        <is>
          <t>840003307100008</t>
        </is>
      </c>
      <c r="E14" s="20" t="inlineStr">
        <is>
          <t>610014202626T008</t>
        </is>
      </c>
      <c r="F14" s="20" t="inlineStr">
        <is>
          <t>NE05200008</t>
        </is>
      </c>
      <c r="G14" s="17" t="inlineStr">
        <is>
          <t>F</t>
        </is>
      </c>
      <c r="H14" s="20" t="inlineStr">
        <is>
          <t>2026</t>
        </is>
      </c>
      <c r="I14" s="17" t="inlineStr">
        <is>
          <t>Offspring</t>
        </is>
      </c>
      <c r="J14" s="20" t="inlineStr">
        <is>
          <t>23015</t>
        </is>
      </c>
      <c r="K14" s="20" t="inlineStr"/>
      <c r="L14" s="17" t="inlineStr">
        <is>
          <t>Y</t>
        </is>
      </c>
      <c r="M14" s="17" t="inlineStr">
        <is>
          <t>Y</t>
        </is>
      </c>
      <c r="N14" s="17" t="inlineStr">
        <is>
          <t>Y</t>
        </is>
      </c>
      <c r="O14" s="17" t="inlineStr">
        <is>
          <t>B2026-01</t>
        </is>
      </c>
      <c r="P14" s="17" t="inlineStr">
        <is>
          <t>Complete</t>
        </is>
      </c>
      <c r="Q14" s="17" t="inlineStr"/>
      <c r="R14" s="17">
        <f>COUNTIF(Photos!A:A,A14)</f>
        <v/>
      </c>
      <c r="S14" s="17" t="inlineStr"/>
      <c r="T14" s="17" t="inlineStr">
        <is>
          <t>[Staff name]</t>
        </is>
      </c>
      <c r="U14" s="17">
        <f>IFERROR(INDEX(Submissions!B:B,MATCH(B14,Submissions!A:A,0))&amp;"","")</f>
        <v/>
      </c>
      <c r="V14" s="17">
        <f>IF(P14="Complete","Y","N")</f>
        <v/>
      </c>
      <c r="W14" s="17">
        <f>IF(J14="","",IF(COUNTIFS(Candidate_Parents!A:A,U14,Candidate_Parents!C:C,J14)+COUNTIFS(Candidate_Parents!A:A,U14,Candidate_Parents!D:D,J14)+COUNTIFS(Candidate_Parents!A:A,U14,Candidate_Parents!E:E,J14)&gt;0,"Genotyped",IF(COUNTIFS(B:B,B14,C:C,J14,P:P,"&lt;&gt;Not received")&gt;0,"In this submission","Not genotyped")))</f>
        <v/>
      </c>
      <c r="X14" s="17">
        <f>IF(K14="","",IF(COUNTIFS(Candidate_Parents!A:A,U14,Candidate_Parents!C:C,K14)+COUNTIFS(Candidate_Parents!A:A,U14,Candidate_Parents!D:D,K14)+COUNTIFS(Candidate_Parents!A:A,U14,Candidate_Parents!E:E,K14)&gt;0,"Genotyped",IF(COUNTIFS(B:B,B14,C:C,K14,P:P,"&lt;&gt;Not received")&gt;0,"In this submission","Not genotyped")))</f>
        <v/>
      </c>
      <c r="Y14" s="17" t="inlineStr">
        <is>
          <t>Targhee</t>
        </is>
      </c>
      <c r="Z14" s="17" t="inlineStr">
        <is>
          <t>Smith Ranch</t>
        </is>
      </c>
      <c r="AA14" s="17">
        <f>IF(H14="","",IFERROR(YEAR(IF(INDEX(Submissions!Q:Q,MATCH(B14,Submissions!A:A,0))="",TODAY(),INDEX(Submissions!Q:Q,MATCH(B14,Submissions!A:A,0))))-VALUE(LEFT(H14,4)),""))</f>
        <v/>
      </c>
      <c r="AB14" s="17">
        <f>IF(AA14="","",IF(AA14&gt;=INDEX(Settings!B:B,MATCH("Proven_Min_Age",Settings!A:A,0)),"Y","N"))</f>
        <v/>
      </c>
      <c r="AC14" s="17" t="inlineStr"/>
      <c r="AD14" s="17" t="inlineStr"/>
      <c r="AE14" s="17">
        <f>IF(IF(AC14&lt;&gt;"",AC14,IFERROR(INDEX(Submissions!U:U,MATCH(B14,Submissions!A:A,0))&amp;"",""))="","",IF(AND(IFERROR(INDEX(Cost_Share!H:H,MATCH(IF(AC14&lt;&gt;"",AC14,IFERROR(INDEX(Submissions!U:U,MATCH(B14,Submissions!A:A,0))&amp;"","")),Cost_Share!A:A,0))&amp;"","")="Y",E14=""),"",IF(AC14&lt;&gt;"",AC14,IFERROR(INDEX(Submissions!U:U,MATCH(B14,Submissions!A:A,0))&amp;"",""))))</f>
        <v/>
      </c>
      <c r="AF14" s="17">
        <f>IF(AE14="","None",IF(AD14&lt;&gt;"",AD14,IF(AB14="Y","Full","Partial")))</f>
        <v/>
      </c>
      <c r="AG14" s="17" t="inlineStr">
        <is>
          <t>INV-P003-01</t>
        </is>
      </c>
    </row>
    <row r="15">
      <c r="A15" s="20" t="inlineStr">
        <is>
          <t>P003-01-26009</t>
        </is>
      </c>
      <c r="B15" s="20" t="inlineStr">
        <is>
          <t>P003-01</t>
        </is>
      </c>
      <c r="C15" s="20" t="inlineStr">
        <is>
          <t>26009</t>
        </is>
      </c>
      <c r="D15" s="20" t="inlineStr">
        <is>
          <t>840003307100009</t>
        </is>
      </c>
      <c r="E15" s="20" t="inlineStr">
        <is>
          <t>610014202626T009</t>
        </is>
      </c>
      <c r="F15" s="20" t="inlineStr">
        <is>
          <t>NE05200009</t>
        </is>
      </c>
      <c r="G15" s="17" t="inlineStr">
        <is>
          <t>M</t>
        </is>
      </c>
      <c r="H15" s="20" t="inlineStr">
        <is>
          <t>2026</t>
        </is>
      </c>
      <c r="I15" s="17" t="inlineStr">
        <is>
          <t>Offspring</t>
        </is>
      </c>
      <c r="J15" s="20" t="inlineStr">
        <is>
          <t>23015</t>
        </is>
      </c>
      <c r="K15" s="20" t="inlineStr"/>
      <c r="L15" s="17" t="inlineStr">
        <is>
          <t>Y</t>
        </is>
      </c>
      <c r="M15" s="17" t="inlineStr">
        <is>
          <t>Y</t>
        </is>
      </c>
      <c r="N15" s="17" t="inlineStr">
        <is>
          <t>Y</t>
        </is>
      </c>
      <c r="O15" s="17" t="inlineStr">
        <is>
          <t>B2026-01</t>
        </is>
      </c>
      <c r="P15" s="17" t="inlineStr">
        <is>
          <t>Complete</t>
        </is>
      </c>
      <c r="Q15" s="17" t="inlineStr"/>
      <c r="R15" s="17">
        <f>COUNTIF(Photos!A:A,A15)</f>
        <v/>
      </c>
      <c r="S15" s="17" t="inlineStr"/>
      <c r="T15" s="17" t="inlineStr">
        <is>
          <t>[Staff name]</t>
        </is>
      </c>
      <c r="U15" s="17">
        <f>IFERROR(INDEX(Submissions!B:B,MATCH(B15,Submissions!A:A,0))&amp;"","")</f>
        <v/>
      </c>
      <c r="V15" s="17">
        <f>IF(P15="Complete","Y","N")</f>
        <v/>
      </c>
      <c r="W15" s="17">
        <f>IF(J15="","",IF(COUNTIFS(Candidate_Parents!A:A,U15,Candidate_Parents!C:C,J15)+COUNTIFS(Candidate_Parents!A:A,U15,Candidate_Parents!D:D,J15)+COUNTIFS(Candidate_Parents!A:A,U15,Candidate_Parents!E:E,J15)&gt;0,"Genotyped",IF(COUNTIFS(B:B,B15,C:C,J15,P:P,"&lt;&gt;Not received")&gt;0,"In this submission","Not genotyped")))</f>
        <v/>
      </c>
      <c r="X15" s="17">
        <f>IF(K15="","",IF(COUNTIFS(Candidate_Parents!A:A,U15,Candidate_Parents!C:C,K15)+COUNTIFS(Candidate_Parents!A:A,U15,Candidate_Parents!D:D,K15)+COUNTIFS(Candidate_Parents!A:A,U15,Candidate_Parents!E:E,K15)&gt;0,"Genotyped",IF(COUNTIFS(B:B,B15,C:C,K15,P:P,"&lt;&gt;Not received")&gt;0,"In this submission","Not genotyped")))</f>
        <v/>
      </c>
      <c r="Y15" s="17" t="inlineStr">
        <is>
          <t>Targhee</t>
        </is>
      </c>
      <c r="Z15" s="17" t="inlineStr">
        <is>
          <t>Smith Ranch</t>
        </is>
      </c>
      <c r="AA15" s="17">
        <f>IF(H15="","",IFERROR(YEAR(IF(INDEX(Submissions!Q:Q,MATCH(B15,Submissions!A:A,0))="",TODAY(),INDEX(Submissions!Q:Q,MATCH(B15,Submissions!A:A,0))))-VALUE(LEFT(H15,4)),""))</f>
        <v/>
      </c>
      <c r="AB15" s="17">
        <f>IF(AA15="","",IF(AA15&gt;=INDEX(Settings!B:B,MATCH("Proven_Min_Age",Settings!A:A,0)),"Y","N"))</f>
        <v/>
      </c>
      <c r="AC15" s="17" t="inlineStr"/>
      <c r="AD15" s="17" t="inlineStr"/>
      <c r="AE15" s="17">
        <f>IF(IF(AC15&lt;&gt;"",AC15,IFERROR(INDEX(Submissions!U:U,MATCH(B15,Submissions!A:A,0))&amp;"",""))="","",IF(AND(IFERROR(INDEX(Cost_Share!H:H,MATCH(IF(AC15&lt;&gt;"",AC15,IFERROR(INDEX(Submissions!U:U,MATCH(B15,Submissions!A:A,0))&amp;"","")),Cost_Share!A:A,0))&amp;"","")="Y",E15=""),"",IF(AC15&lt;&gt;"",AC15,IFERROR(INDEX(Submissions!U:U,MATCH(B15,Submissions!A:A,0))&amp;"",""))))</f>
        <v/>
      </c>
      <c r="AF15" s="17">
        <f>IF(AE15="","None",IF(AD15&lt;&gt;"",AD15,IF(AB15="Y","Full","Partial")))</f>
        <v/>
      </c>
      <c r="AG15" s="17" t="inlineStr">
        <is>
          <t>INV-P003-01</t>
        </is>
      </c>
    </row>
    <row r="16">
      <c r="A16" s="20" t="inlineStr">
        <is>
          <t>P003-01-26010</t>
        </is>
      </c>
      <c r="B16" s="20" t="inlineStr">
        <is>
          <t>P003-01</t>
        </is>
      </c>
      <c r="C16" s="20" t="inlineStr">
        <is>
          <t>26010</t>
        </is>
      </c>
      <c r="D16" s="20" t="inlineStr">
        <is>
          <t>840003307100010</t>
        </is>
      </c>
      <c r="E16" s="20" t="inlineStr">
        <is>
          <t>610014202626T010</t>
        </is>
      </c>
      <c r="F16" s="20" t="inlineStr">
        <is>
          <t>NE05200010</t>
        </is>
      </c>
      <c r="G16" s="17" t="inlineStr">
        <is>
          <t>F</t>
        </is>
      </c>
      <c r="H16" s="20" t="inlineStr">
        <is>
          <t>2026</t>
        </is>
      </c>
      <c r="I16" s="17" t="inlineStr">
        <is>
          <t>Offspring</t>
        </is>
      </c>
      <c r="J16" s="20" t="inlineStr">
        <is>
          <t>23015</t>
        </is>
      </c>
      <c r="K16" s="20" t="inlineStr"/>
      <c r="L16" s="17" t="inlineStr">
        <is>
          <t>Y</t>
        </is>
      </c>
      <c r="M16" s="17" t="inlineStr">
        <is>
          <t>Y</t>
        </is>
      </c>
      <c r="N16" s="17" t="inlineStr">
        <is>
          <t>Y</t>
        </is>
      </c>
      <c r="O16" s="17" t="inlineStr">
        <is>
          <t>B2026-01</t>
        </is>
      </c>
      <c r="P16" s="17" t="inlineStr">
        <is>
          <t>Complete</t>
        </is>
      </c>
      <c r="Q16" s="17" t="inlineStr"/>
      <c r="R16" s="17">
        <f>COUNTIF(Photos!A:A,A16)</f>
        <v/>
      </c>
      <c r="S16" s="17" t="inlineStr"/>
      <c r="T16" s="17" t="inlineStr">
        <is>
          <t>[Staff name]</t>
        </is>
      </c>
      <c r="U16" s="17">
        <f>IFERROR(INDEX(Submissions!B:B,MATCH(B16,Submissions!A:A,0))&amp;"","")</f>
        <v/>
      </c>
      <c r="V16" s="17">
        <f>IF(P16="Complete","Y","N")</f>
        <v/>
      </c>
      <c r="W16" s="17">
        <f>IF(J16="","",IF(COUNTIFS(Candidate_Parents!A:A,U16,Candidate_Parents!C:C,J16)+COUNTIFS(Candidate_Parents!A:A,U16,Candidate_Parents!D:D,J16)+COUNTIFS(Candidate_Parents!A:A,U16,Candidate_Parents!E:E,J16)&gt;0,"Genotyped",IF(COUNTIFS(B:B,B16,C:C,J16,P:P,"&lt;&gt;Not received")&gt;0,"In this submission","Not genotyped")))</f>
        <v/>
      </c>
      <c r="X16" s="17">
        <f>IF(K16="","",IF(COUNTIFS(Candidate_Parents!A:A,U16,Candidate_Parents!C:C,K16)+COUNTIFS(Candidate_Parents!A:A,U16,Candidate_Parents!D:D,K16)+COUNTIFS(Candidate_Parents!A:A,U16,Candidate_Parents!E:E,K16)&gt;0,"Genotyped",IF(COUNTIFS(B:B,B16,C:C,K16,P:P,"&lt;&gt;Not received")&gt;0,"In this submission","Not genotyped")))</f>
        <v/>
      </c>
      <c r="Y16" s="17" t="inlineStr">
        <is>
          <t>Targhee</t>
        </is>
      </c>
      <c r="Z16" s="17" t="inlineStr">
        <is>
          <t>Smith Ranch</t>
        </is>
      </c>
      <c r="AA16" s="17">
        <f>IF(H16="","",IFERROR(YEAR(IF(INDEX(Submissions!Q:Q,MATCH(B16,Submissions!A:A,0))="",TODAY(),INDEX(Submissions!Q:Q,MATCH(B16,Submissions!A:A,0))))-VALUE(LEFT(H16,4)),""))</f>
        <v/>
      </c>
      <c r="AB16" s="17">
        <f>IF(AA16="","",IF(AA16&gt;=INDEX(Settings!B:B,MATCH("Proven_Min_Age",Settings!A:A,0)),"Y","N"))</f>
        <v/>
      </c>
      <c r="AC16" s="17" t="inlineStr"/>
      <c r="AD16" s="17" t="inlineStr"/>
      <c r="AE16" s="17">
        <f>IF(IF(AC16&lt;&gt;"",AC16,IFERROR(INDEX(Submissions!U:U,MATCH(B16,Submissions!A:A,0))&amp;"",""))="","",IF(AND(IFERROR(INDEX(Cost_Share!H:H,MATCH(IF(AC16&lt;&gt;"",AC16,IFERROR(INDEX(Submissions!U:U,MATCH(B16,Submissions!A:A,0))&amp;"","")),Cost_Share!A:A,0))&amp;"","")="Y",E16=""),"",IF(AC16&lt;&gt;"",AC16,IFERROR(INDEX(Submissions!U:U,MATCH(B16,Submissions!A:A,0))&amp;"",""))))</f>
        <v/>
      </c>
      <c r="AF16" s="17">
        <f>IF(AE16="","None",IF(AD16&lt;&gt;"",AD16,IF(AB16="Y","Full","Partial")))</f>
        <v/>
      </c>
      <c r="AG16" s="17" t="inlineStr">
        <is>
          <t>INV-P003-01</t>
        </is>
      </c>
    </row>
    <row r="17">
      <c r="A17" s="20" t="inlineStr">
        <is>
          <t>P003-01-23015</t>
        </is>
      </c>
      <c r="B17" s="20" t="inlineStr">
        <is>
          <t>P003-01</t>
        </is>
      </c>
      <c r="C17" s="20" t="inlineStr">
        <is>
          <t>23015</t>
        </is>
      </c>
      <c r="D17" s="20" t="inlineStr">
        <is>
          <t>840003307100011</t>
        </is>
      </c>
      <c r="E17" s="20" t="inlineStr">
        <is>
          <t>610014202323T015</t>
        </is>
      </c>
      <c r="F17" s="20" t="inlineStr">
        <is>
          <t>NE05200011</t>
        </is>
      </c>
      <c r="G17" s="17" t="inlineStr">
        <is>
          <t>M</t>
        </is>
      </c>
      <c r="H17" s="20" t="inlineStr">
        <is>
          <t>2023</t>
        </is>
      </c>
      <c r="I17" s="17" t="inlineStr">
        <is>
          <t>Sire</t>
        </is>
      </c>
      <c r="J17" s="20" t="inlineStr"/>
      <c r="K17" s="20" t="inlineStr"/>
      <c r="L17" s="17" t="inlineStr">
        <is>
          <t>Y</t>
        </is>
      </c>
      <c r="M17" s="17" t="inlineStr">
        <is>
          <t>N</t>
        </is>
      </c>
      <c r="N17" s="17" t="inlineStr">
        <is>
          <t>Y</t>
        </is>
      </c>
      <c r="O17" s="17" t="inlineStr">
        <is>
          <t>B2026-02</t>
        </is>
      </c>
      <c r="P17" s="17" t="inlineStr">
        <is>
          <t>Complete</t>
        </is>
      </c>
      <c r="Q17" s="17" t="inlineStr"/>
      <c r="R17" s="17">
        <f>COUNTIF(Photos!A:A,A17)</f>
        <v/>
      </c>
      <c r="S17" s="17" t="inlineStr"/>
      <c r="T17" s="17" t="inlineStr">
        <is>
          <t>[Staff name]</t>
        </is>
      </c>
      <c r="U17" s="17">
        <f>IFERROR(INDEX(Submissions!B:B,MATCH(B17,Submissions!A:A,0))&amp;"","")</f>
        <v/>
      </c>
      <c r="V17" s="17">
        <f>IF(P17="Complete","Y","N")</f>
        <v/>
      </c>
      <c r="W17" s="17">
        <f>IF(J17="","",IF(COUNTIFS(Candidate_Parents!A:A,U17,Candidate_Parents!C:C,J17)+COUNTIFS(Candidate_Parents!A:A,U17,Candidate_Parents!D:D,J17)+COUNTIFS(Candidate_Parents!A:A,U17,Candidate_Parents!E:E,J17)&gt;0,"Genotyped",IF(COUNTIFS(B:B,B17,C:C,J17,P:P,"&lt;&gt;Not received")&gt;0,"In this submission","Not genotyped")))</f>
        <v/>
      </c>
      <c r="X17" s="17">
        <f>IF(K17="","",IF(COUNTIFS(Candidate_Parents!A:A,U17,Candidate_Parents!C:C,K17)+COUNTIFS(Candidate_Parents!A:A,U17,Candidate_Parents!D:D,K17)+COUNTIFS(Candidate_Parents!A:A,U17,Candidate_Parents!E:E,K17)&gt;0,"Genotyped",IF(COUNTIFS(B:B,B17,C:C,K17,P:P,"&lt;&gt;Not received")&gt;0,"In this submission","Not genotyped")))</f>
        <v/>
      </c>
      <c r="Y17" s="17" t="inlineStr">
        <is>
          <t>Targhee</t>
        </is>
      </c>
      <c r="Z17" s="17" t="inlineStr">
        <is>
          <t>Bar T Ranch</t>
        </is>
      </c>
      <c r="AA17" s="17">
        <f>IF(H17="","",IFERROR(YEAR(IF(INDEX(Submissions!Q:Q,MATCH(B17,Submissions!A:A,0))="",TODAY(),INDEX(Submissions!Q:Q,MATCH(B17,Submissions!A:A,0))))-VALUE(LEFT(H17,4)),""))</f>
        <v/>
      </c>
      <c r="AB17" s="17">
        <f>IF(AA17="","",IF(AA17&gt;=INDEX(Settings!B:B,MATCH("Proven_Min_Age",Settings!A:A,0)),"Y","N"))</f>
        <v/>
      </c>
      <c r="AC17" s="17" t="inlineStr"/>
      <c r="AD17" s="17" t="inlineStr"/>
      <c r="AE17" s="17">
        <f>IF(IF(AC17&lt;&gt;"",AC17,IFERROR(INDEX(Submissions!U:U,MATCH(B17,Submissions!A:A,0))&amp;"",""))="","",IF(AND(IFERROR(INDEX(Cost_Share!H:H,MATCH(IF(AC17&lt;&gt;"",AC17,IFERROR(INDEX(Submissions!U:U,MATCH(B17,Submissions!A:A,0))&amp;"","")),Cost_Share!A:A,0))&amp;"","")="Y",E17=""),"",IF(AC17&lt;&gt;"",AC17,IFERROR(INDEX(Submissions!U:U,MATCH(B17,Submissions!A:A,0))&amp;"",""))))</f>
        <v/>
      </c>
      <c r="AF17" s="17">
        <f>IF(AE17="","None",IF(AD17&lt;&gt;"",AD17,IF(AB17="Y","Full","Partial")))</f>
        <v/>
      </c>
      <c r="AG17" s="17" t="inlineStr">
        <is>
          <t>INV-P003-01</t>
        </is>
      </c>
    </row>
    <row r="18">
      <c r="A18" s="20" t="inlineStr">
        <is>
          <t>P003-01-0412</t>
        </is>
      </c>
      <c r="B18" s="20" t="inlineStr">
        <is>
          <t>P003-01</t>
        </is>
      </c>
      <c r="C18" s="20" t="inlineStr">
        <is>
          <t>0412</t>
        </is>
      </c>
      <c r="D18" s="20" t="inlineStr">
        <is>
          <t>840003307100012</t>
        </is>
      </c>
      <c r="E18" s="20" t="inlineStr"/>
      <c r="F18" s="20" t="inlineStr">
        <is>
          <t>NE05200012</t>
        </is>
      </c>
      <c r="G18" s="17" t="inlineStr">
        <is>
          <t>F</t>
        </is>
      </c>
      <c r="H18" s="20" t="inlineStr">
        <is>
          <t>2018-2020</t>
        </is>
      </c>
      <c r="I18" s="17" t="inlineStr">
        <is>
          <t>Dam</t>
        </is>
      </c>
      <c r="J18" s="20" t="inlineStr"/>
      <c r="K18" s="20" t="inlineStr"/>
      <c r="L18" s="17" t="inlineStr">
        <is>
          <t>Y</t>
        </is>
      </c>
      <c r="M18" s="17" t="inlineStr">
        <is>
          <t>N</t>
        </is>
      </c>
      <c r="N18" s="17" t="inlineStr">
        <is>
          <t>N</t>
        </is>
      </c>
      <c r="O18" s="17" t="inlineStr"/>
      <c r="P18" s="17" t="inlineStr">
        <is>
          <t>Not received</t>
        </is>
      </c>
      <c r="Q18" s="17" t="inlineStr"/>
      <c r="R18" s="17">
        <f>COUNTIF(Photos!A:A,A18)</f>
        <v/>
      </c>
      <c r="S18" s="17" t="inlineStr">
        <is>
          <t>Not in the package received; producer resending (P003-01-R1)</t>
        </is>
      </c>
      <c r="T18" s="17" t="inlineStr"/>
      <c r="U18" s="17">
        <f>IFERROR(INDEX(Submissions!B:B,MATCH(B18,Submissions!A:A,0))&amp;"","")</f>
        <v/>
      </c>
      <c r="V18" s="17">
        <f>IF(P18="Complete","Y","N")</f>
        <v/>
      </c>
      <c r="W18" s="17">
        <f>IF(J18="","",IF(COUNTIFS(Candidate_Parents!A:A,U18,Candidate_Parents!C:C,J18)+COUNTIFS(Candidate_Parents!A:A,U18,Candidate_Parents!D:D,J18)+COUNTIFS(Candidate_Parents!A:A,U18,Candidate_Parents!E:E,J18)&gt;0,"Genotyped",IF(COUNTIFS(B:B,B18,C:C,J18,P:P,"&lt;&gt;Not received")&gt;0,"In this submission","Not genotyped")))</f>
        <v/>
      </c>
      <c r="X18" s="17">
        <f>IF(K18="","",IF(COUNTIFS(Candidate_Parents!A:A,U18,Candidate_Parents!C:C,K18)+COUNTIFS(Candidate_Parents!A:A,U18,Candidate_Parents!D:D,K18)+COUNTIFS(Candidate_Parents!A:A,U18,Candidate_Parents!E:E,K18)&gt;0,"Genotyped",IF(COUNTIFS(B:B,B18,C:C,K18,P:P,"&lt;&gt;Not received")&gt;0,"In this submission","Not genotyped")))</f>
        <v/>
      </c>
      <c r="Y18" s="17" t="inlineStr">
        <is>
          <t>Targhee</t>
        </is>
      </c>
      <c r="Z18" s="17" t="inlineStr">
        <is>
          <t>Smith Ranch</t>
        </is>
      </c>
      <c r="AA18" s="17">
        <f>IF(H18="","",IFERROR(YEAR(IF(INDEX(Submissions!Q:Q,MATCH(B18,Submissions!A:A,0))="",TODAY(),INDEX(Submissions!Q:Q,MATCH(B18,Submissions!A:A,0))))-VALUE(LEFT(H18,4)),""))</f>
        <v/>
      </c>
      <c r="AB18" s="17">
        <f>IF(AA18="","",IF(AA18&gt;=INDEX(Settings!B:B,MATCH("Proven_Min_Age",Settings!A:A,0)),"Y","N"))</f>
        <v/>
      </c>
      <c r="AC18" s="17" t="inlineStr"/>
      <c r="AD18" s="17" t="inlineStr"/>
      <c r="AE18" s="17">
        <f>IF(IF(AC18&lt;&gt;"",AC18,IFERROR(INDEX(Submissions!U:U,MATCH(B18,Submissions!A:A,0))&amp;"",""))="","",IF(AND(IFERROR(INDEX(Cost_Share!H:H,MATCH(IF(AC18&lt;&gt;"",AC18,IFERROR(INDEX(Submissions!U:U,MATCH(B18,Submissions!A:A,0))&amp;"","")),Cost_Share!A:A,0))&amp;"","")="Y",E18=""),"",IF(AC18&lt;&gt;"",AC18,IFERROR(INDEX(Submissions!U:U,MATCH(B18,Submissions!A:A,0))&amp;"",""))))</f>
        <v/>
      </c>
      <c r="AF18" s="17">
        <f>IF(AE18="","None",IF(AD18&lt;&gt;"",AD18,IF(AB18="Y","Full","Partial")))</f>
        <v/>
      </c>
      <c r="AG18" s="17" t="inlineStr"/>
    </row>
    <row r="19">
      <c r="A19" s="20" t="inlineStr">
        <is>
          <t>P004-01-J01</t>
        </is>
      </c>
      <c r="B19" s="20" t="inlineStr">
        <is>
          <t>P004-01</t>
        </is>
      </c>
      <c r="C19" s="20" t="inlineStr">
        <is>
          <t>J01</t>
        </is>
      </c>
      <c r="D19" s="20" t="inlineStr">
        <is>
          <t>840003307300001</t>
        </is>
      </c>
      <c r="E19" s="20" t="inlineStr"/>
      <c r="F19" s="20" t="inlineStr">
        <is>
          <t>NE05200201</t>
        </is>
      </c>
      <c r="G19" s="17" t="inlineStr">
        <is>
          <t>M</t>
        </is>
      </c>
      <c r="H19" s="20" t="inlineStr">
        <is>
          <t>2023</t>
        </is>
      </c>
      <c r="I19" s="17" t="inlineStr">
        <is>
          <t>Sire</t>
        </is>
      </c>
      <c r="J19" s="20" t="inlineStr"/>
      <c r="K19" s="20" t="inlineStr"/>
      <c r="L19" s="17" t="inlineStr">
        <is>
          <t>Y</t>
        </is>
      </c>
      <c r="M19" s="17" t="inlineStr">
        <is>
          <t>Y</t>
        </is>
      </c>
      <c r="N19" s="17" t="inlineStr"/>
      <c r="O19" s="17" t="inlineStr"/>
      <c r="P19" s="17" t="inlineStr">
        <is>
          <t>Awaiting sample</t>
        </is>
      </c>
      <c r="Q19" s="17" t="inlineStr"/>
      <c r="R19" s="17">
        <f>COUNTIF(Photos!A:A,A19)</f>
        <v/>
      </c>
      <c r="S19" s="17" t="inlineStr"/>
      <c r="T19" s="17" t="inlineStr"/>
      <c r="U19" s="17">
        <f>IFERROR(INDEX(Submissions!B:B,MATCH(B19,Submissions!A:A,0))&amp;"","")</f>
        <v/>
      </c>
      <c r="V19" s="17">
        <f>IF(P19="Complete","Y","N")</f>
        <v/>
      </c>
      <c r="W19" s="17">
        <f>IF(J19="","",IF(COUNTIFS(Candidate_Parents!A:A,U19,Candidate_Parents!C:C,J19)+COUNTIFS(Candidate_Parents!A:A,U19,Candidate_Parents!D:D,J19)+COUNTIFS(Candidate_Parents!A:A,U19,Candidate_Parents!E:E,J19)&gt;0,"Genotyped",IF(COUNTIFS(B:B,B19,C:C,J19,P:P,"&lt;&gt;Not received")&gt;0,"In this submission","Not genotyped")))</f>
        <v/>
      </c>
      <c r="X19" s="17">
        <f>IF(K19="","",IF(COUNTIFS(Candidate_Parents!A:A,U19,Candidate_Parents!C:C,K19)+COUNTIFS(Candidate_Parents!A:A,U19,Candidate_Parents!D:D,K19)+COUNTIFS(Candidate_Parents!A:A,U19,Candidate_Parents!E:E,K19)&gt;0,"Genotyped",IF(COUNTIFS(B:B,B19,C:C,K19,P:P,"&lt;&gt;Not received")&gt;0,"In this submission","Not genotyped")))</f>
        <v/>
      </c>
      <c r="Y19" s="17" t="inlineStr">
        <is>
          <t>Columbia</t>
        </is>
      </c>
      <c r="Z19" s="17" t="inlineStr">
        <is>
          <t>Jones Sheep Co</t>
        </is>
      </c>
      <c r="AA19" s="17">
        <f>IF(H19="","",IFERROR(YEAR(IF(INDEX(Submissions!Q:Q,MATCH(B19,Submissions!A:A,0))="",TODAY(),INDEX(Submissions!Q:Q,MATCH(B19,Submissions!A:A,0))))-VALUE(LEFT(H19,4)),""))</f>
        <v/>
      </c>
      <c r="AB19" s="17">
        <f>IF(AA19="","",IF(AA19&gt;=INDEX(Settings!B:B,MATCH("Proven_Min_Age",Settings!A:A,0)),"Y","N"))</f>
        <v/>
      </c>
      <c r="AC19" s="17" t="inlineStr"/>
      <c r="AD19" s="17" t="inlineStr"/>
      <c r="AE19" s="17">
        <f>IF(IF(AC19&lt;&gt;"",AC19,IFERROR(INDEX(Submissions!U:U,MATCH(B19,Submissions!A:A,0))&amp;"",""))="","",IF(AND(IFERROR(INDEX(Cost_Share!H:H,MATCH(IF(AC19&lt;&gt;"",AC19,IFERROR(INDEX(Submissions!U:U,MATCH(B19,Submissions!A:A,0))&amp;"","")),Cost_Share!A:A,0))&amp;"","")="Y",E19=""),"",IF(AC19&lt;&gt;"",AC19,IFERROR(INDEX(Submissions!U:U,MATCH(B19,Submissions!A:A,0))&amp;"",""))))</f>
        <v/>
      </c>
      <c r="AF19" s="17">
        <f>IF(AE19="","None",IF(AD19&lt;&gt;"",AD19,IF(AB19="Y","Full","Partial")))</f>
        <v/>
      </c>
      <c r="AG19" s="17" t="inlineStr"/>
    </row>
    <row r="20">
      <c r="A20" s="20" t="inlineStr">
        <is>
          <t>P004-01-J02</t>
        </is>
      </c>
      <c r="B20" s="20" t="inlineStr">
        <is>
          <t>P004-01</t>
        </is>
      </c>
      <c r="C20" s="20" t="inlineStr">
        <is>
          <t>J02</t>
        </is>
      </c>
      <c r="D20" s="20" t="inlineStr">
        <is>
          <t>840003307300002</t>
        </is>
      </c>
      <c r="E20" s="20" t="inlineStr"/>
      <c r="F20" s="20" t="inlineStr">
        <is>
          <t>NE05200202</t>
        </is>
      </c>
      <c r="G20" s="17" t="inlineStr">
        <is>
          <t>F</t>
        </is>
      </c>
      <c r="H20" s="20" t="inlineStr">
        <is>
          <t>2022</t>
        </is>
      </c>
      <c r="I20" s="17" t="inlineStr">
        <is>
          <t>Dam</t>
        </is>
      </c>
      <c r="J20" s="20" t="inlineStr"/>
      <c r="K20" s="20" t="inlineStr"/>
      <c r="L20" s="17" t="inlineStr">
        <is>
          <t>Y</t>
        </is>
      </c>
      <c r="M20" s="17" t="inlineStr">
        <is>
          <t>Y</t>
        </is>
      </c>
      <c r="N20" s="17" t="inlineStr"/>
      <c r="O20" s="17" t="inlineStr"/>
      <c r="P20" s="17" t="inlineStr">
        <is>
          <t>Awaiting sample</t>
        </is>
      </c>
      <c r="Q20" s="17" t="inlineStr"/>
      <c r="R20" s="17">
        <f>COUNTIF(Photos!A:A,A20)</f>
        <v/>
      </c>
      <c r="S20" s="17" t="inlineStr"/>
      <c r="T20" s="17" t="inlineStr"/>
      <c r="U20" s="17">
        <f>IFERROR(INDEX(Submissions!B:B,MATCH(B20,Submissions!A:A,0))&amp;"","")</f>
        <v/>
      </c>
      <c r="V20" s="17">
        <f>IF(P20="Complete","Y","N")</f>
        <v/>
      </c>
      <c r="W20" s="17">
        <f>IF(J20="","",IF(COUNTIFS(Candidate_Parents!A:A,U20,Candidate_Parents!C:C,J20)+COUNTIFS(Candidate_Parents!A:A,U20,Candidate_Parents!D:D,J20)+COUNTIFS(Candidate_Parents!A:A,U20,Candidate_Parents!E:E,J20)&gt;0,"Genotyped",IF(COUNTIFS(B:B,B20,C:C,J20,P:P,"&lt;&gt;Not received")&gt;0,"In this submission","Not genotyped")))</f>
        <v/>
      </c>
      <c r="X20" s="17">
        <f>IF(K20="","",IF(COUNTIFS(Candidate_Parents!A:A,U20,Candidate_Parents!C:C,K20)+COUNTIFS(Candidate_Parents!A:A,U20,Candidate_Parents!D:D,K20)+COUNTIFS(Candidate_Parents!A:A,U20,Candidate_Parents!E:E,K20)&gt;0,"Genotyped",IF(COUNTIFS(B:B,B20,C:C,K20,P:P,"&lt;&gt;Not received")&gt;0,"In this submission","Not genotyped")))</f>
        <v/>
      </c>
      <c r="Y20" s="17" t="inlineStr">
        <is>
          <t>Columbia</t>
        </is>
      </c>
      <c r="Z20" s="17" t="inlineStr">
        <is>
          <t>Jones Sheep Co</t>
        </is>
      </c>
      <c r="AA20" s="17">
        <f>IF(H20="","",IFERROR(YEAR(IF(INDEX(Submissions!Q:Q,MATCH(B20,Submissions!A:A,0))="",TODAY(),INDEX(Submissions!Q:Q,MATCH(B20,Submissions!A:A,0))))-VALUE(LEFT(H20,4)),""))</f>
        <v/>
      </c>
      <c r="AB20" s="17">
        <f>IF(AA20="","",IF(AA20&gt;=INDEX(Settings!B:B,MATCH("Proven_Min_Age",Settings!A:A,0)),"Y","N"))</f>
        <v/>
      </c>
      <c r="AC20" s="17" t="inlineStr"/>
      <c r="AD20" s="17" t="inlineStr"/>
      <c r="AE20" s="17">
        <f>IF(IF(AC20&lt;&gt;"",AC20,IFERROR(INDEX(Submissions!U:U,MATCH(B20,Submissions!A:A,0))&amp;"",""))="","",IF(AND(IFERROR(INDEX(Cost_Share!H:H,MATCH(IF(AC20&lt;&gt;"",AC20,IFERROR(INDEX(Submissions!U:U,MATCH(B20,Submissions!A:A,0))&amp;"","")),Cost_Share!A:A,0))&amp;"","")="Y",E20=""),"",IF(AC20&lt;&gt;"",AC20,IFERROR(INDEX(Submissions!U:U,MATCH(B20,Submissions!A:A,0))&amp;"",""))))</f>
        <v/>
      </c>
      <c r="AF20" s="17">
        <f>IF(AE20="","None",IF(AD20&lt;&gt;"",AD20,IF(AB20="Y","Full","Partial")))</f>
        <v/>
      </c>
      <c r="AG20" s="17" t="inlineStr"/>
    </row>
    <row r="21">
      <c r="A21" s="20" t="inlineStr">
        <is>
          <t>P004-01-J03</t>
        </is>
      </c>
      <c r="B21" s="20" t="inlineStr">
        <is>
          <t>P004-01</t>
        </is>
      </c>
      <c r="C21" s="20" t="inlineStr">
        <is>
          <t>J03</t>
        </is>
      </c>
      <c r="D21" s="20" t="inlineStr">
        <is>
          <t>840003307300003</t>
        </is>
      </c>
      <c r="E21" s="20" t="inlineStr"/>
      <c r="F21" s="20" t="inlineStr">
        <is>
          <t>NE05200203</t>
        </is>
      </c>
      <c r="G21" s="17" t="inlineStr">
        <is>
          <t>F</t>
        </is>
      </c>
      <c r="H21" s="20" t="inlineStr">
        <is>
          <t>2026</t>
        </is>
      </c>
      <c r="I21" s="17" t="inlineStr">
        <is>
          <t>Offspring</t>
        </is>
      </c>
      <c r="J21" s="20" t="inlineStr">
        <is>
          <t>J01</t>
        </is>
      </c>
      <c r="K21" s="20" t="inlineStr">
        <is>
          <t>J02</t>
        </is>
      </c>
      <c r="L21" s="17" t="inlineStr">
        <is>
          <t>Y</t>
        </is>
      </c>
      <c r="M21" s="17" t="inlineStr">
        <is>
          <t>Y</t>
        </is>
      </c>
      <c r="N21" s="17" t="inlineStr"/>
      <c r="O21" s="17" t="inlineStr"/>
      <c r="P21" s="17" t="inlineStr">
        <is>
          <t>Awaiting sample</t>
        </is>
      </c>
      <c r="Q21" s="17" t="inlineStr"/>
      <c r="R21" s="17">
        <f>COUNTIF(Photos!A:A,A21)</f>
        <v/>
      </c>
      <c r="S21" s="17" t="inlineStr"/>
      <c r="T21" s="17" t="inlineStr"/>
      <c r="U21" s="17">
        <f>IFERROR(INDEX(Submissions!B:B,MATCH(B21,Submissions!A:A,0))&amp;"","")</f>
        <v/>
      </c>
      <c r="V21" s="17">
        <f>IF(P21="Complete","Y","N")</f>
        <v/>
      </c>
      <c r="W21" s="17">
        <f>IF(J21="","",IF(COUNTIFS(Candidate_Parents!A:A,U21,Candidate_Parents!C:C,J21)+COUNTIFS(Candidate_Parents!A:A,U21,Candidate_Parents!D:D,J21)+COUNTIFS(Candidate_Parents!A:A,U21,Candidate_Parents!E:E,J21)&gt;0,"Genotyped",IF(COUNTIFS(B:B,B21,C:C,J21,P:P,"&lt;&gt;Not received")&gt;0,"In this submission","Not genotyped")))</f>
        <v/>
      </c>
      <c r="X21" s="17">
        <f>IF(K21="","",IF(COUNTIFS(Candidate_Parents!A:A,U21,Candidate_Parents!C:C,K21)+COUNTIFS(Candidate_Parents!A:A,U21,Candidate_Parents!D:D,K21)+COUNTIFS(Candidate_Parents!A:A,U21,Candidate_Parents!E:E,K21)&gt;0,"Genotyped",IF(COUNTIFS(B:B,B21,C:C,K21,P:P,"&lt;&gt;Not received")&gt;0,"In this submission","Not genotyped")))</f>
        <v/>
      </c>
      <c r="Y21" s="17" t="inlineStr">
        <is>
          <t>Columbia</t>
        </is>
      </c>
      <c r="Z21" s="17" t="inlineStr">
        <is>
          <t>Jones Sheep Co</t>
        </is>
      </c>
      <c r="AA21" s="17">
        <f>IF(H21="","",IFERROR(YEAR(IF(INDEX(Submissions!Q:Q,MATCH(B21,Submissions!A:A,0))="",TODAY(),INDEX(Submissions!Q:Q,MATCH(B21,Submissions!A:A,0))))-VALUE(LEFT(H21,4)),""))</f>
        <v/>
      </c>
      <c r="AB21" s="17">
        <f>IF(AA21="","",IF(AA21&gt;=INDEX(Settings!B:B,MATCH("Proven_Min_Age",Settings!A:A,0)),"Y","N"))</f>
        <v/>
      </c>
      <c r="AC21" s="17" t="inlineStr"/>
      <c r="AD21" s="17" t="inlineStr"/>
      <c r="AE21" s="17">
        <f>IF(IF(AC21&lt;&gt;"",AC21,IFERROR(INDEX(Submissions!U:U,MATCH(B21,Submissions!A:A,0))&amp;"",""))="","",IF(AND(IFERROR(INDEX(Cost_Share!H:H,MATCH(IF(AC21&lt;&gt;"",AC21,IFERROR(INDEX(Submissions!U:U,MATCH(B21,Submissions!A:A,0))&amp;"","")),Cost_Share!A:A,0))&amp;"","")="Y",E21=""),"",IF(AC21&lt;&gt;"",AC21,IFERROR(INDEX(Submissions!U:U,MATCH(B21,Submissions!A:A,0))&amp;"",""))))</f>
        <v/>
      </c>
      <c r="AF21" s="17">
        <f>IF(AE21="","None",IF(AD21&lt;&gt;"",AD21,IF(AB21="Y","Full","Partial")))</f>
        <v/>
      </c>
      <c r="AG21" s="17" t="inlineStr"/>
    </row>
    <row r="22">
      <c r="A22" s="20" t="inlineStr">
        <is>
          <t>P004-01-J04</t>
        </is>
      </c>
      <c r="B22" s="20" t="inlineStr">
        <is>
          <t>P004-01</t>
        </is>
      </c>
      <c r="C22" s="20" t="inlineStr">
        <is>
          <t>J04</t>
        </is>
      </c>
      <c r="D22" s="20" t="inlineStr">
        <is>
          <t>840003307300004</t>
        </is>
      </c>
      <c r="E22" s="20" t="inlineStr"/>
      <c r="F22" s="20" t="inlineStr">
        <is>
          <t>NE05200204</t>
        </is>
      </c>
      <c r="G22" s="17" t="inlineStr">
        <is>
          <t>M</t>
        </is>
      </c>
      <c r="H22" s="20" t="inlineStr">
        <is>
          <t>2026</t>
        </is>
      </c>
      <c r="I22" s="17" t="inlineStr">
        <is>
          <t>Offspring</t>
        </is>
      </c>
      <c r="J22" s="20" t="inlineStr">
        <is>
          <t>J01</t>
        </is>
      </c>
      <c r="K22" s="20" t="inlineStr">
        <is>
          <t>J02</t>
        </is>
      </c>
      <c r="L22" s="17" t="inlineStr">
        <is>
          <t>Y</t>
        </is>
      </c>
      <c r="M22" s="17" t="inlineStr">
        <is>
          <t>Y</t>
        </is>
      </c>
      <c r="N22" s="17" t="inlineStr"/>
      <c r="O22" s="17" t="inlineStr"/>
      <c r="P22" s="17" t="inlineStr">
        <is>
          <t>Awaiting sample</t>
        </is>
      </c>
      <c r="Q22" s="17" t="inlineStr"/>
      <c r="R22" s="17">
        <f>COUNTIF(Photos!A:A,A22)</f>
        <v/>
      </c>
      <c r="S22" s="17" t="inlineStr"/>
      <c r="T22" s="17" t="inlineStr"/>
      <c r="U22" s="17">
        <f>IFERROR(INDEX(Submissions!B:B,MATCH(B22,Submissions!A:A,0))&amp;"","")</f>
        <v/>
      </c>
      <c r="V22" s="17">
        <f>IF(P22="Complete","Y","N")</f>
        <v/>
      </c>
      <c r="W22" s="17">
        <f>IF(J22="","",IF(COUNTIFS(Candidate_Parents!A:A,U22,Candidate_Parents!C:C,J22)+COUNTIFS(Candidate_Parents!A:A,U22,Candidate_Parents!D:D,J22)+COUNTIFS(Candidate_Parents!A:A,U22,Candidate_Parents!E:E,J22)&gt;0,"Genotyped",IF(COUNTIFS(B:B,B22,C:C,J22,P:P,"&lt;&gt;Not received")&gt;0,"In this submission","Not genotyped")))</f>
        <v/>
      </c>
      <c r="X22" s="17">
        <f>IF(K22="","",IF(COUNTIFS(Candidate_Parents!A:A,U22,Candidate_Parents!C:C,K22)+COUNTIFS(Candidate_Parents!A:A,U22,Candidate_Parents!D:D,K22)+COUNTIFS(Candidate_Parents!A:A,U22,Candidate_Parents!E:E,K22)&gt;0,"Genotyped",IF(COUNTIFS(B:B,B22,C:C,K22,P:P,"&lt;&gt;Not received")&gt;0,"In this submission","Not genotyped")))</f>
        <v/>
      </c>
      <c r="Y22" s="17" t="inlineStr">
        <is>
          <t>Columbia</t>
        </is>
      </c>
      <c r="Z22" s="17" t="inlineStr">
        <is>
          <t>Jones Sheep Co</t>
        </is>
      </c>
      <c r="AA22" s="17">
        <f>IF(H22="","",IFERROR(YEAR(IF(INDEX(Submissions!Q:Q,MATCH(B22,Submissions!A:A,0))="",TODAY(),INDEX(Submissions!Q:Q,MATCH(B22,Submissions!A:A,0))))-VALUE(LEFT(H22,4)),""))</f>
        <v/>
      </c>
      <c r="AB22" s="17">
        <f>IF(AA22="","",IF(AA22&gt;=INDEX(Settings!B:B,MATCH("Proven_Min_Age",Settings!A:A,0)),"Y","N"))</f>
        <v/>
      </c>
      <c r="AC22" s="17" t="inlineStr"/>
      <c r="AD22" s="17" t="inlineStr"/>
      <c r="AE22" s="17">
        <f>IF(IF(AC22&lt;&gt;"",AC22,IFERROR(INDEX(Submissions!U:U,MATCH(B22,Submissions!A:A,0))&amp;"",""))="","",IF(AND(IFERROR(INDEX(Cost_Share!H:H,MATCH(IF(AC22&lt;&gt;"",AC22,IFERROR(INDEX(Submissions!U:U,MATCH(B22,Submissions!A:A,0))&amp;"","")),Cost_Share!A:A,0))&amp;"","")="Y",E22=""),"",IF(AC22&lt;&gt;"",AC22,IFERROR(INDEX(Submissions!U:U,MATCH(B22,Submissions!A:A,0))&amp;"",""))))</f>
        <v/>
      </c>
      <c r="AF22" s="17">
        <f>IF(AE22="","None",IF(AD22&lt;&gt;"",AD22,IF(AB22="Y","Full","Partial")))</f>
        <v/>
      </c>
      <c r="AG22" s="17" t="inlineStr"/>
    </row>
    <row r="23">
      <c r="A23" s="20" t="inlineStr">
        <is>
          <t>P004-01-J05</t>
        </is>
      </c>
      <c r="B23" s="20" t="inlineStr">
        <is>
          <t>P004-01</t>
        </is>
      </c>
      <c r="C23" s="20" t="inlineStr">
        <is>
          <t>J05</t>
        </is>
      </c>
      <c r="D23" s="20" t="inlineStr">
        <is>
          <t>840003307300005</t>
        </is>
      </c>
      <c r="E23" s="20" t="inlineStr"/>
      <c r="F23" s="20" t="inlineStr">
        <is>
          <t>NE05200205</t>
        </is>
      </c>
      <c r="G23" s="17" t="inlineStr">
        <is>
          <t>F</t>
        </is>
      </c>
      <c r="H23" s="20" t="inlineStr">
        <is>
          <t>2026</t>
        </is>
      </c>
      <c r="I23" s="17" t="inlineStr">
        <is>
          <t>Offspring</t>
        </is>
      </c>
      <c r="J23" s="20" t="inlineStr">
        <is>
          <t>J01</t>
        </is>
      </c>
      <c r="K23" s="20" t="inlineStr">
        <is>
          <t>J02</t>
        </is>
      </c>
      <c r="L23" s="17" t="inlineStr">
        <is>
          <t>Y</t>
        </is>
      </c>
      <c r="M23" s="17" t="inlineStr">
        <is>
          <t>Y</t>
        </is>
      </c>
      <c r="N23" s="17" t="inlineStr"/>
      <c r="O23" s="17" t="inlineStr"/>
      <c r="P23" s="17" t="inlineStr">
        <is>
          <t>Awaiting sample</t>
        </is>
      </c>
      <c r="Q23" s="17" t="inlineStr"/>
      <c r="R23" s="17">
        <f>COUNTIF(Photos!A:A,A23)</f>
        <v/>
      </c>
      <c r="S23" s="17" t="inlineStr"/>
      <c r="T23" s="17" t="inlineStr"/>
      <c r="U23" s="17">
        <f>IFERROR(INDEX(Submissions!B:B,MATCH(B23,Submissions!A:A,0))&amp;"","")</f>
        <v/>
      </c>
      <c r="V23" s="17">
        <f>IF(P23="Complete","Y","N")</f>
        <v/>
      </c>
      <c r="W23" s="17">
        <f>IF(J23="","",IF(COUNTIFS(Candidate_Parents!A:A,U23,Candidate_Parents!C:C,J23)+COUNTIFS(Candidate_Parents!A:A,U23,Candidate_Parents!D:D,J23)+COUNTIFS(Candidate_Parents!A:A,U23,Candidate_Parents!E:E,J23)&gt;0,"Genotyped",IF(COUNTIFS(B:B,B23,C:C,J23,P:P,"&lt;&gt;Not received")&gt;0,"In this submission","Not genotyped")))</f>
        <v/>
      </c>
      <c r="X23" s="17">
        <f>IF(K23="","",IF(COUNTIFS(Candidate_Parents!A:A,U23,Candidate_Parents!C:C,K23)+COUNTIFS(Candidate_Parents!A:A,U23,Candidate_Parents!D:D,K23)+COUNTIFS(Candidate_Parents!A:A,U23,Candidate_Parents!E:E,K23)&gt;0,"Genotyped",IF(COUNTIFS(B:B,B23,C:C,K23,P:P,"&lt;&gt;Not received")&gt;0,"In this submission","Not genotyped")))</f>
        <v/>
      </c>
      <c r="Y23" s="17" t="inlineStr">
        <is>
          <t>Columbia</t>
        </is>
      </c>
      <c r="Z23" s="17" t="inlineStr">
        <is>
          <t>Jones Sheep Co</t>
        </is>
      </c>
      <c r="AA23" s="17">
        <f>IF(H23="","",IFERROR(YEAR(IF(INDEX(Submissions!Q:Q,MATCH(B23,Submissions!A:A,0))="",TODAY(),INDEX(Submissions!Q:Q,MATCH(B23,Submissions!A:A,0))))-VALUE(LEFT(H23,4)),""))</f>
        <v/>
      </c>
      <c r="AB23" s="17">
        <f>IF(AA23="","",IF(AA23&gt;=INDEX(Settings!B:B,MATCH("Proven_Min_Age",Settings!A:A,0)),"Y","N"))</f>
        <v/>
      </c>
      <c r="AC23" s="17" t="inlineStr"/>
      <c r="AD23" s="17" t="inlineStr"/>
      <c r="AE23" s="17">
        <f>IF(IF(AC23&lt;&gt;"",AC23,IFERROR(INDEX(Submissions!U:U,MATCH(B23,Submissions!A:A,0))&amp;"",""))="","",IF(AND(IFERROR(INDEX(Cost_Share!H:H,MATCH(IF(AC23&lt;&gt;"",AC23,IFERROR(INDEX(Submissions!U:U,MATCH(B23,Submissions!A:A,0))&amp;"","")),Cost_Share!A:A,0))&amp;"","")="Y",E23=""),"",IF(AC23&lt;&gt;"",AC23,IFERROR(INDEX(Submissions!U:U,MATCH(B23,Submissions!A:A,0))&amp;"",""))))</f>
        <v/>
      </c>
      <c r="AF23" s="17">
        <f>IF(AE23="","None",IF(AD23&lt;&gt;"",AD23,IF(AB23="Y","Full","Partial")))</f>
        <v/>
      </c>
      <c r="AG23" s="17" t="inlineStr"/>
    </row>
    <row r="24">
      <c r="A24" s="20" t="inlineStr">
        <is>
          <t>P004-01-J06</t>
        </is>
      </c>
      <c r="B24" s="20" t="inlineStr">
        <is>
          <t>P004-01</t>
        </is>
      </c>
      <c r="C24" s="20" t="inlineStr">
        <is>
          <t>J06</t>
        </is>
      </c>
      <c r="D24" s="20" t="inlineStr">
        <is>
          <t>840003307300006</t>
        </is>
      </c>
      <c r="E24" s="20" t="inlineStr"/>
      <c r="F24" s="20" t="inlineStr">
        <is>
          <t>NE05200206</t>
        </is>
      </c>
      <c r="G24" s="17" t="inlineStr">
        <is>
          <t>F</t>
        </is>
      </c>
      <c r="H24" s="20" t="inlineStr">
        <is>
          <t>2025</t>
        </is>
      </c>
      <c r="I24" s="17" t="inlineStr">
        <is>
          <t>Offspring</t>
        </is>
      </c>
      <c r="J24" s="20" t="inlineStr">
        <is>
          <t>J01</t>
        </is>
      </c>
      <c r="K24" s="20" t="inlineStr">
        <is>
          <t>J02</t>
        </is>
      </c>
      <c r="L24" s="17" t="inlineStr">
        <is>
          <t>Y</t>
        </is>
      </c>
      <c r="M24" s="17" t="inlineStr">
        <is>
          <t>Y</t>
        </is>
      </c>
      <c r="N24" s="17" t="inlineStr"/>
      <c r="O24" s="17" t="inlineStr"/>
      <c r="P24" s="17" t="inlineStr">
        <is>
          <t>Awaiting sample</t>
        </is>
      </c>
      <c r="Q24" s="17" t="inlineStr"/>
      <c r="R24" s="17">
        <f>COUNTIF(Photos!A:A,A24)</f>
        <v/>
      </c>
      <c r="S24" s="17" t="inlineStr"/>
      <c r="T24" s="17" t="inlineStr"/>
      <c r="U24" s="17">
        <f>IFERROR(INDEX(Submissions!B:B,MATCH(B24,Submissions!A:A,0))&amp;"","")</f>
        <v/>
      </c>
      <c r="V24" s="17">
        <f>IF(P24="Complete","Y","N")</f>
        <v/>
      </c>
      <c r="W24" s="17">
        <f>IF(J24="","",IF(COUNTIFS(Candidate_Parents!A:A,U24,Candidate_Parents!C:C,J24)+COUNTIFS(Candidate_Parents!A:A,U24,Candidate_Parents!D:D,J24)+COUNTIFS(Candidate_Parents!A:A,U24,Candidate_Parents!E:E,J24)&gt;0,"Genotyped",IF(COUNTIFS(B:B,B24,C:C,J24,P:P,"&lt;&gt;Not received")&gt;0,"In this submission","Not genotyped")))</f>
        <v/>
      </c>
      <c r="X24" s="17">
        <f>IF(K24="","",IF(COUNTIFS(Candidate_Parents!A:A,U24,Candidate_Parents!C:C,K24)+COUNTIFS(Candidate_Parents!A:A,U24,Candidate_Parents!D:D,K24)+COUNTIFS(Candidate_Parents!A:A,U24,Candidate_Parents!E:E,K24)&gt;0,"Genotyped",IF(COUNTIFS(B:B,B24,C:C,K24,P:P,"&lt;&gt;Not received")&gt;0,"In this submission","Not genotyped")))</f>
        <v/>
      </c>
      <c r="Y24" s="17" t="inlineStr">
        <is>
          <t>Columbia</t>
        </is>
      </c>
      <c r="Z24" s="17" t="inlineStr">
        <is>
          <t>Jones Sheep Co</t>
        </is>
      </c>
      <c r="AA24" s="17">
        <f>IF(H24="","",IFERROR(YEAR(IF(INDEX(Submissions!Q:Q,MATCH(B24,Submissions!A:A,0))="",TODAY(),INDEX(Submissions!Q:Q,MATCH(B24,Submissions!A:A,0))))-VALUE(LEFT(H24,4)),""))</f>
        <v/>
      </c>
      <c r="AB24" s="17">
        <f>IF(AA24="","",IF(AA24&gt;=INDEX(Settings!B:B,MATCH("Proven_Min_Age",Settings!A:A,0)),"Y","N"))</f>
        <v/>
      </c>
      <c r="AC24" s="17" t="inlineStr"/>
      <c r="AD24" s="17" t="inlineStr"/>
      <c r="AE24" s="17">
        <f>IF(IF(AC24&lt;&gt;"",AC24,IFERROR(INDEX(Submissions!U:U,MATCH(B24,Submissions!A:A,0))&amp;"",""))="","",IF(AND(IFERROR(INDEX(Cost_Share!H:H,MATCH(IF(AC24&lt;&gt;"",AC24,IFERROR(INDEX(Submissions!U:U,MATCH(B24,Submissions!A:A,0))&amp;"","")),Cost_Share!A:A,0))&amp;"","")="Y",E24=""),"",IF(AC24&lt;&gt;"",AC24,IFERROR(INDEX(Submissions!U:U,MATCH(B24,Submissions!A:A,0))&amp;"",""))))</f>
        <v/>
      </c>
      <c r="AF24" s="17">
        <f>IF(AE24="","None",IF(AD24&lt;&gt;"",AD24,IF(AB24="Y","Full","Partial")))</f>
        <v/>
      </c>
      <c r="AG24" s="17" t="inlineStr"/>
    </row>
    <row r="25">
      <c r="A25" s="22" t="n"/>
      <c r="B25" s="22" t="n"/>
      <c r="C25" s="22" t="n"/>
      <c r="D25" s="22" t="n"/>
      <c r="E25" s="22" t="n"/>
      <c r="F25" s="22" t="n"/>
      <c r="H25" s="22" t="n"/>
      <c r="J25" s="22" t="n"/>
      <c r="K25" s="22" t="n"/>
    </row>
    <row r="26">
      <c r="A26" s="22" t="n"/>
      <c r="B26" s="22" t="n"/>
      <c r="C26" s="22" t="n"/>
      <c r="D26" s="22" t="n"/>
      <c r="E26" s="22" t="n"/>
      <c r="F26" s="22" t="n"/>
      <c r="H26" s="22" t="n"/>
      <c r="J26" s="22" t="n"/>
      <c r="K26" s="22" t="n"/>
    </row>
    <row r="27">
      <c r="A27" s="22" t="n"/>
      <c r="B27" s="22" t="n"/>
      <c r="C27" s="22" t="n"/>
      <c r="D27" s="22" t="n"/>
      <c r="E27" s="22" t="n"/>
      <c r="F27" s="22" t="n"/>
      <c r="H27" s="22" t="n"/>
      <c r="J27" s="22" t="n"/>
      <c r="K27" s="22" t="n"/>
    </row>
    <row r="28">
      <c r="A28" s="22" t="n"/>
      <c r="B28" s="22" t="n"/>
      <c r="C28" s="22" t="n"/>
      <c r="D28" s="22" t="n"/>
      <c r="E28" s="22" t="n"/>
      <c r="F28" s="22" t="n"/>
      <c r="H28" s="22" t="n"/>
      <c r="J28" s="22" t="n"/>
      <c r="K28" s="22" t="n"/>
    </row>
    <row r="29">
      <c r="A29" s="22" t="n"/>
      <c r="B29" s="22" t="n"/>
      <c r="C29" s="22" t="n"/>
      <c r="D29" s="22" t="n"/>
      <c r="E29" s="22" t="n"/>
      <c r="F29" s="22" t="n"/>
      <c r="H29" s="22" t="n"/>
      <c r="J29" s="22" t="n"/>
      <c r="K29" s="22" t="n"/>
    </row>
    <row r="30">
      <c r="A30" s="22" t="n"/>
      <c r="B30" s="22" t="n"/>
      <c r="C30" s="22" t="n"/>
      <c r="D30" s="22" t="n"/>
      <c r="E30" s="22" t="n"/>
      <c r="F30" s="22" t="n"/>
      <c r="H30" s="22" t="n"/>
      <c r="J30" s="22" t="n"/>
      <c r="K30" s="22" t="n"/>
    </row>
    <row r="31">
      <c r="A31" s="22" t="n"/>
      <c r="B31" s="22" t="n"/>
      <c r="C31" s="22" t="n"/>
      <c r="D31" s="22" t="n"/>
      <c r="E31" s="22" t="n"/>
      <c r="F31" s="22" t="n"/>
      <c r="H31" s="22" t="n"/>
      <c r="J31" s="22" t="n"/>
      <c r="K31" s="22" t="n"/>
    </row>
    <row r="32">
      <c r="A32" s="22" t="n"/>
      <c r="B32" s="22" t="n"/>
      <c r="C32" s="22" t="n"/>
      <c r="D32" s="22" t="n"/>
      <c r="E32" s="22" t="n"/>
      <c r="F32" s="22" t="n"/>
      <c r="H32" s="22" t="n"/>
      <c r="J32" s="22" t="n"/>
      <c r="K32" s="22" t="n"/>
    </row>
    <row r="33">
      <c r="A33" s="22" t="n"/>
      <c r="B33" s="22" t="n"/>
      <c r="C33" s="22" t="n"/>
      <c r="D33" s="22" t="n"/>
      <c r="E33" s="22" t="n"/>
      <c r="F33" s="22" t="n"/>
      <c r="H33" s="22" t="n"/>
      <c r="J33" s="22" t="n"/>
      <c r="K33" s="22" t="n"/>
    </row>
    <row r="34">
      <c r="A34" s="22" t="n"/>
      <c r="B34" s="22" t="n"/>
      <c r="C34" s="22" t="n"/>
      <c r="D34" s="22" t="n"/>
      <c r="E34" s="22" t="n"/>
      <c r="F34" s="22" t="n"/>
      <c r="H34" s="22" t="n"/>
      <c r="J34" s="22" t="n"/>
      <c r="K34" s="22" t="n"/>
    </row>
    <row r="35">
      <c r="A35" s="22" t="n"/>
      <c r="B35" s="22" t="n"/>
      <c r="C35" s="22" t="n"/>
      <c r="D35" s="22" t="n"/>
      <c r="E35" s="22" t="n"/>
      <c r="F35" s="22" t="n"/>
      <c r="H35" s="22" t="n"/>
      <c r="J35" s="22" t="n"/>
      <c r="K35" s="22" t="n"/>
    </row>
    <row r="36">
      <c r="A36" s="22" t="n"/>
      <c r="B36" s="22" t="n"/>
      <c r="C36" s="22" t="n"/>
      <c r="D36" s="22" t="n"/>
      <c r="E36" s="22" t="n"/>
      <c r="F36" s="22" t="n"/>
      <c r="H36" s="22" t="n"/>
      <c r="J36" s="22" t="n"/>
      <c r="K36" s="22" t="n"/>
    </row>
    <row r="37">
      <c r="A37" s="22" t="n"/>
      <c r="B37" s="22" t="n"/>
      <c r="C37" s="22" t="n"/>
      <c r="D37" s="22" t="n"/>
      <c r="E37" s="22" t="n"/>
      <c r="F37" s="22" t="n"/>
      <c r="H37" s="22" t="n"/>
      <c r="J37" s="22" t="n"/>
      <c r="K37" s="22" t="n"/>
    </row>
    <row r="38">
      <c r="A38" s="22" t="n"/>
      <c r="B38" s="22" t="n"/>
      <c r="C38" s="22" t="n"/>
      <c r="D38" s="22" t="n"/>
      <c r="E38" s="22" t="n"/>
      <c r="F38" s="22" t="n"/>
      <c r="H38" s="22" t="n"/>
      <c r="J38" s="22" t="n"/>
      <c r="K38" s="22" t="n"/>
    </row>
    <row r="39">
      <c r="A39" s="22" t="n"/>
      <c r="B39" s="22" t="n"/>
      <c r="C39" s="22" t="n"/>
      <c r="D39" s="22" t="n"/>
      <c r="E39" s="22" t="n"/>
      <c r="F39" s="22" t="n"/>
      <c r="H39" s="22" t="n"/>
      <c r="J39" s="22" t="n"/>
      <c r="K39" s="22" t="n"/>
    </row>
    <row r="40">
      <c r="A40" s="22" t="n"/>
      <c r="B40" s="22" t="n"/>
      <c r="C40" s="22" t="n"/>
      <c r="D40" s="22" t="n"/>
      <c r="E40" s="22" t="n"/>
      <c r="F40" s="22" t="n"/>
      <c r="H40" s="22" t="n"/>
      <c r="J40" s="22" t="n"/>
      <c r="K40" s="22" t="n"/>
    </row>
    <row r="41">
      <c r="A41" s="22" t="n"/>
      <c r="B41" s="22" t="n"/>
      <c r="C41" s="22" t="n"/>
      <c r="D41" s="22" t="n"/>
      <c r="E41" s="22" t="n"/>
      <c r="F41" s="22" t="n"/>
      <c r="H41" s="22" t="n"/>
      <c r="J41" s="22" t="n"/>
      <c r="K41" s="22" t="n"/>
    </row>
    <row r="42">
      <c r="A42" s="22" t="n"/>
      <c r="B42" s="22" t="n"/>
      <c r="C42" s="22" t="n"/>
      <c r="D42" s="22" t="n"/>
      <c r="E42" s="22" t="n"/>
      <c r="F42" s="22" t="n"/>
      <c r="H42" s="22" t="n"/>
      <c r="J42" s="22" t="n"/>
      <c r="K42" s="22" t="n"/>
    </row>
    <row r="43">
      <c r="A43" s="22" t="n"/>
      <c r="B43" s="22" t="n"/>
      <c r="C43" s="22" t="n"/>
      <c r="D43" s="22" t="n"/>
      <c r="E43" s="22" t="n"/>
      <c r="F43" s="22" t="n"/>
      <c r="H43" s="22" t="n"/>
      <c r="J43" s="22" t="n"/>
      <c r="K43" s="22" t="n"/>
    </row>
    <row r="44">
      <c r="A44" s="22" t="n"/>
      <c r="B44" s="22" t="n"/>
      <c r="C44" s="22" t="n"/>
      <c r="D44" s="22" t="n"/>
      <c r="E44" s="22" t="n"/>
      <c r="F44" s="22" t="n"/>
      <c r="H44" s="22" t="n"/>
      <c r="J44" s="22" t="n"/>
      <c r="K44" s="22" t="n"/>
    </row>
    <row r="45">
      <c r="A45" s="22" t="n"/>
      <c r="B45" s="22" t="n"/>
      <c r="C45" s="22" t="n"/>
      <c r="D45" s="22" t="n"/>
      <c r="E45" s="22" t="n"/>
      <c r="F45" s="22" t="n"/>
      <c r="H45" s="22" t="n"/>
      <c r="J45" s="22" t="n"/>
      <c r="K45" s="22" t="n"/>
    </row>
    <row r="46">
      <c r="A46" s="22" t="n"/>
      <c r="B46" s="22" t="n"/>
      <c r="C46" s="22" t="n"/>
      <c r="D46" s="22" t="n"/>
      <c r="E46" s="22" t="n"/>
      <c r="F46" s="22" t="n"/>
      <c r="H46" s="22" t="n"/>
      <c r="J46" s="22" t="n"/>
      <c r="K46" s="22" t="n"/>
    </row>
    <row r="47">
      <c r="A47" s="22" t="n"/>
      <c r="B47" s="22" t="n"/>
      <c r="C47" s="22" t="n"/>
      <c r="D47" s="22" t="n"/>
      <c r="E47" s="22" t="n"/>
      <c r="F47" s="22" t="n"/>
      <c r="H47" s="22" t="n"/>
      <c r="J47" s="22" t="n"/>
      <c r="K47" s="22" t="n"/>
    </row>
    <row r="48">
      <c r="A48" s="22" t="n"/>
      <c r="B48" s="22" t="n"/>
      <c r="C48" s="22" t="n"/>
      <c r="D48" s="22" t="n"/>
      <c r="E48" s="22" t="n"/>
      <c r="F48" s="22" t="n"/>
      <c r="H48" s="22" t="n"/>
      <c r="J48" s="22" t="n"/>
      <c r="K48" s="22" t="n"/>
    </row>
    <row r="49">
      <c r="A49" s="22" t="n"/>
      <c r="B49" s="22" t="n"/>
      <c r="C49" s="22" t="n"/>
      <c r="D49" s="22" t="n"/>
      <c r="E49" s="22" t="n"/>
      <c r="F49" s="22" t="n"/>
      <c r="H49" s="22" t="n"/>
      <c r="J49" s="22" t="n"/>
      <c r="K49" s="22" t="n"/>
    </row>
    <row r="50">
      <c r="A50" s="22" t="n"/>
      <c r="B50" s="22" t="n"/>
      <c r="C50" s="22" t="n"/>
      <c r="D50" s="22" t="n"/>
      <c r="E50" s="22" t="n"/>
      <c r="F50" s="22" t="n"/>
      <c r="H50" s="22" t="n"/>
      <c r="J50" s="22" t="n"/>
      <c r="K50" s="22" t="n"/>
    </row>
    <row r="51">
      <c r="A51" s="22" t="n"/>
      <c r="B51" s="22" t="n"/>
      <c r="C51" s="22" t="n"/>
      <c r="D51" s="22" t="n"/>
      <c r="E51" s="22" t="n"/>
      <c r="F51" s="22" t="n"/>
      <c r="H51" s="22" t="n"/>
      <c r="J51" s="22" t="n"/>
      <c r="K51" s="22" t="n"/>
    </row>
    <row r="52">
      <c r="A52" s="22" t="n"/>
      <c r="B52" s="22" t="n"/>
      <c r="C52" s="22" t="n"/>
      <c r="D52" s="22" t="n"/>
      <c r="E52" s="22" t="n"/>
      <c r="F52" s="22" t="n"/>
      <c r="H52" s="22" t="n"/>
      <c r="J52" s="22" t="n"/>
      <c r="K52" s="22" t="n"/>
    </row>
    <row r="53">
      <c r="A53" s="22" t="n"/>
      <c r="B53" s="22" t="n"/>
      <c r="C53" s="22" t="n"/>
      <c r="D53" s="22" t="n"/>
      <c r="E53" s="22" t="n"/>
      <c r="F53" s="22" t="n"/>
      <c r="H53" s="22" t="n"/>
      <c r="J53" s="22" t="n"/>
      <c r="K53" s="22" t="n"/>
    </row>
    <row r="54">
      <c r="A54" s="22" t="n"/>
      <c r="B54" s="22" t="n"/>
      <c r="C54" s="22" t="n"/>
      <c r="D54" s="22" t="n"/>
      <c r="E54" s="22" t="n"/>
      <c r="F54" s="22" t="n"/>
      <c r="H54" s="22" t="n"/>
      <c r="J54" s="22" t="n"/>
      <c r="K54" s="22" t="n"/>
    </row>
    <row r="55">
      <c r="A55" s="22" t="n"/>
      <c r="B55" s="22" t="n"/>
      <c r="C55" s="22" t="n"/>
      <c r="D55" s="22" t="n"/>
      <c r="E55" s="22" t="n"/>
      <c r="F55" s="22" t="n"/>
      <c r="H55" s="22" t="n"/>
      <c r="J55" s="22" t="n"/>
      <c r="K55" s="22" t="n"/>
    </row>
    <row r="56">
      <c r="A56" s="22" t="n"/>
      <c r="B56" s="22" t="n"/>
      <c r="C56" s="22" t="n"/>
      <c r="D56" s="22" t="n"/>
      <c r="E56" s="22" t="n"/>
      <c r="F56" s="22" t="n"/>
      <c r="H56" s="22" t="n"/>
      <c r="J56" s="22" t="n"/>
      <c r="K56" s="22" t="n"/>
    </row>
    <row r="57">
      <c r="A57" s="22" t="n"/>
      <c r="B57" s="22" t="n"/>
      <c r="C57" s="22" t="n"/>
      <c r="D57" s="22" t="n"/>
      <c r="E57" s="22" t="n"/>
      <c r="F57" s="22" t="n"/>
      <c r="H57" s="22" t="n"/>
      <c r="J57" s="22" t="n"/>
      <c r="K57" s="22" t="n"/>
    </row>
    <row r="58">
      <c r="A58" s="22" t="n"/>
      <c r="B58" s="22" t="n"/>
      <c r="C58" s="22" t="n"/>
      <c r="D58" s="22" t="n"/>
      <c r="E58" s="22" t="n"/>
      <c r="F58" s="22" t="n"/>
      <c r="H58" s="22" t="n"/>
      <c r="J58" s="22" t="n"/>
      <c r="K58" s="22" t="n"/>
    </row>
    <row r="59">
      <c r="A59" s="22" t="n"/>
      <c r="B59" s="22" t="n"/>
      <c r="C59" s="22" t="n"/>
      <c r="D59" s="22" t="n"/>
      <c r="E59" s="22" t="n"/>
      <c r="F59" s="22" t="n"/>
      <c r="H59" s="22" t="n"/>
      <c r="J59" s="22" t="n"/>
      <c r="K59" s="22" t="n"/>
    </row>
    <row r="60">
      <c r="A60" s="22" t="n"/>
      <c r="B60" s="22" t="n"/>
      <c r="C60" s="22" t="n"/>
      <c r="D60" s="22" t="n"/>
      <c r="E60" s="22" t="n"/>
      <c r="F60" s="22" t="n"/>
      <c r="H60" s="22" t="n"/>
      <c r="J60" s="22" t="n"/>
      <c r="K60" s="22" t="n"/>
    </row>
    <row r="61">
      <c r="A61" s="22" t="n"/>
      <c r="B61" s="22" t="n"/>
      <c r="C61" s="22" t="n"/>
      <c r="D61" s="22" t="n"/>
      <c r="E61" s="22" t="n"/>
      <c r="F61" s="22" t="n"/>
      <c r="H61" s="22" t="n"/>
      <c r="J61" s="22" t="n"/>
      <c r="K61" s="22" t="n"/>
    </row>
    <row r="62">
      <c r="A62" s="22" t="n"/>
      <c r="B62" s="22" t="n"/>
      <c r="C62" s="22" t="n"/>
      <c r="D62" s="22" t="n"/>
      <c r="E62" s="22" t="n"/>
      <c r="F62" s="22" t="n"/>
      <c r="H62" s="22" t="n"/>
      <c r="J62" s="22" t="n"/>
      <c r="K62" s="22" t="n"/>
    </row>
    <row r="63">
      <c r="A63" s="22" t="n"/>
      <c r="B63" s="22" t="n"/>
      <c r="C63" s="22" t="n"/>
      <c r="D63" s="22" t="n"/>
      <c r="E63" s="22" t="n"/>
      <c r="F63" s="22" t="n"/>
      <c r="H63" s="22" t="n"/>
      <c r="J63" s="22" t="n"/>
      <c r="K63" s="22" t="n"/>
    </row>
    <row r="64">
      <c r="A64" s="22" t="n"/>
      <c r="B64" s="22" t="n"/>
      <c r="C64" s="22" t="n"/>
      <c r="D64" s="22" t="n"/>
      <c r="E64" s="22" t="n"/>
      <c r="F64" s="22" t="n"/>
      <c r="H64" s="22" t="n"/>
      <c r="J64" s="22" t="n"/>
      <c r="K64" s="22" t="n"/>
    </row>
    <row r="65">
      <c r="A65" s="22" t="n"/>
      <c r="B65" s="22" t="n"/>
      <c r="C65" s="22" t="n"/>
      <c r="D65" s="22" t="n"/>
      <c r="E65" s="22" t="n"/>
      <c r="F65" s="22" t="n"/>
      <c r="H65" s="22" t="n"/>
      <c r="J65" s="22" t="n"/>
      <c r="K65" s="22" t="n"/>
    </row>
    <row r="66">
      <c r="A66" s="22" t="n"/>
      <c r="B66" s="22" t="n"/>
      <c r="C66" s="22" t="n"/>
      <c r="D66" s="22" t="n"/>
      <c r="E66" s="22" t="n"/>
      <c r="F66" s="22" t="n"/>
      <c r="H66" s="22" t="n"/>
      <c r="J66" s="22" t="n"/>
      <c r="K66" s="22" t="n"/>
    </row>
    <row r="67">
      <c r="A67" s="22" t="n"/>
      <c r="B67" s="22" t="n"/>
      <c r="C67" s="22" t="n"/>
      <c r="D67" s="22" t="n"/>
      <c r="E67" s="22" t="n"/>
      <c r="F67" s="22" t="n"/>
      <c r="H67" s="22" t="n"/>
      <c r="J67" s="22" t="n"/>
      <c r="K67" s="22" t="n"/>
    </row>
    <row r="68">
      <c r="A68" s="22" t="n"/>
      <c r="B68" s="22" t="n"/>
      <c r="C68" s="22" t="n"/>
      <c r="D68" s="22" t="n"/>
      <c r="E68" s="22" t="n"/>
      <c r="F68" s="22" t="n"/>
      <c r="H68" s="22" t="n"/>
      <c r="J68" s="22" t="n"/>
      <c r="K68" s="22" t="n"/>
    </row>
    <row r="69">
      <c r="A69" s="22" t="n"/>
      <c r="B69" s="22" t="n"/>
      <c r="C69" s="22" t="n"/>
      <c r="D69" s="22" t="n"/>
      <c r="E69" s="22" t="n"/>
      <c r="F69" s="22" t="n"/>
      <c r="H69" s="22" t="n"/>
      <c r="J69" s="22" t="n"/>
      <c r="K69" s="22" t="n"/>
    </row>
    <row r="70">
      <c r="A70" s="22" t="n"/>
      <c r="B70" s="22" t="n"/>
      <c r="C70" s="22" t="n"/>
      <c r="D70" s="22" t="n"/>
      <c r="E70" s="22" t="n"/>
      <c r="F70" s="22" t="n"/>
      <c r="H70" s="22" t="n"/>
      <c r="J70" s="22" t="n"/>
      <c r="K70" s="22" t="n"/>
    </row>
    <row r="71">
      <c r="A71" s="22" t="n"/>
      <c r="B71" s="22" t="n"/>
      <c r="C71" s="22" t="n"/>
      <c r="D71" s="22" t="n"/>
      <c r="E71" s="22" t="n"/>
      <c r="F71" s="22" t="n"/>
      <c r="H71" s="22" t="n"/>
      <c r="J71" s="22" t="n"/>
      <c r="K71" s="22" t="n"/>
    </row>
    <row r="72">
      <c r="A72" s="22" t="n"/>
      <c r="B72" s="22" t="n"/>
      <c r="C72" s="22" t="n"/>
      <c r="D72" s="22" t="n"/>
      <c r="E72" s="22" t="n"/>
      <c r="F72" s="22" t="n"/>
      <c r="H72" s="22" t="n"/>
      <c r="J72" s="22" t="n"/>
      <c r="K72" s="22" t="n"/>
    </row>
    <row r="73">
      <c r="A73" s="22" t="n"/>
      <c r="B73" s="22" t="n"/>
      <c r="C73" s="22" t="n"/>
      <c r="D73" s="22" t="n"/>
      <c r="E73" s="22" t="n"/>
      <c r="F73" s="22" t="n"/>
      <c r="H73" s="22" t="n"/>
      <c r="J73" s="22" t="n"/>
      <c r="K73" s="22" t="n"/>
    </row>
    <row r="74">
      <c r="A74" s="22" t="n"/>
      <c r="B74" s="22" t="n"/>
      <c r="C74" s="22" t="n"/>
      <c r="D74" s="22" t="n"/>
      <c r="E74" s="22" t="n"/>
      <c r="F74" s="22" t="n"/>
      <c r="H74" s="22" t="n"/>
      <c r="J74" s="22" t="n"/>
      <c r="K74" s="22" t="n"/>
    </row>
    <row r="75">
      <c r="A75" s="22" t="n"/>
      <c r="B75" s="22" t="n"/>
      <c r="C75" s="22" t="n"/>
      <c r="D75" s="22" t="n"/>
      <c r="E75" s="22" t="n"/>
      <c r="F75" s="22" t="n"/>
      <c r="H75" s="22" t="n"/>
      <c r="J75" s="22" t="n"/>
      <c r="K75" s="22" t="n"/>
    </row>
    <row r="76">
      <c r="A76" s="22" t="n"/>
      <c r="B76" s="22" t="n"/>
      <c r="C76" s="22" t="n"/>
      <c r="D76" s="22" t="n"/>
      <c r="E76" s="22" t="n"/>
      <c r="F76" s="22" t="n"/>
      <c r="H76" s="22" t="n"/>
      <c r="J76" s="22" t="n"/>
      <c r="K76" s="22" t="n"/>
    </row>
    <row r="77">
      <c r="A77" s="22" t="n"/>
      <c r="B77" s="22" t="n"/>
      <c r="C77" s="22" t="n"/>
      <c r="D77" s="22" t="n"/>
      <c r="E77" s="22" t="n"/>
      <c r="F77" s="22" t="n"/>
      <c r="H77" s="22" t="n"/>
      <c r="J77" s="22" t="n"/>
      <c r="K77" s="22" t="n"/>
    </row>
    <row r="78">
      <c r="A78" s="22" t="n"/>
      <c r="B78" s="22" t="n"/>
      <c r="C78" s="22" t="n"/>
      <c r="D78" s="22" t="n"/>
      <c r="E78" s="22" t="n"/>
      <c r="F78" s="22" t="n"/>
      <c r="H78" s="22" t="n"/>
      <c r="J78" s="22" t="n"/>
      <c r="K78" s="22" t="n"/>
    </row>
    <row r="79">
      <c r="A79" s="22" t="n"/>
      <c r="B79" s="22" t="n"/>
      <c r="C79" s="22" t="n"/>
      <c r="D79" s="22" t="n"/>
      <c r="E79" s="22" t="n"/>
      <c r="F79" s="22" t="n"/>
      <c r="H79" s="22" t="n"/>
      <c r="J79" s="22" t="n"/>
      <c r="K79" s="22" t="n"/>
    </row>
    <row r="80">
      <c r="A80" s="22" t="n"/>
      <c r="B80" s="22" t="n"/>
      <c r="C80" s="22" t="n"/>
      <c r="D80" s="22" t="n"/>
      <c r="E80" s="22" t="n"/>
      <c r="F80" s="22" t="n"/>
      <c r="H80" s="22" t="n"/>
      <c r="J80" s="22" t="n"/>
      <c r="K80" s="22" t="n"/>
    </row>
    <row r="81">
      <c r="A81" s="22" t="n"/>
      <c r="B81" s="22" t="n"/>
      <c r="C81" s="22" t="n"/>
      <c r="D81" s="22" t="n"/>
      <c r="E81" s="22" t="n"/>
      <c r="F81" s="22" t="n"/>
      <c r="H81" s="22" t="n"/>
      <c r="J81" s="22" t="n"/>
      <c r="K81" s="22" t="n"/>
    </row>
    <row r="82">
      <c r="A82" s="22" t="n"/>
      <c r="B82" s="22" t="n"/>
      <c r="C82" s="22" t="n"/>
      <c r="D82" s="22" t="n"/>
      <c r="E82" s="22" t="n"/>
      <c r="F82" s="22" t="n"/>
      <c r="H82" s="22" t="n"/>
      <c r="J82" s="22" t="n"/>
      <c r="K82" s="22" t="n"/>
    </row>
    <row r="83">
      <c r="A83" s="22" t="n"/>
      <c r="B83" s="22" t="n"/>
      <c r="C83" s="22" t="n"/>
      <c r="D83" s="22" t="n"/>
      <c r="E83" s="22" t="n"/>
      <c r="F83" s="22" t="n"/>
      <c r="H83" s="22" t="n"/>
      <c r="J83" s="22" t="n"/>
      <c r="K83" s="22" t="n"/>
    </row>
    <row r="84">
      <c r="A84" s="22" t="n"/>
      <c r="B84" s="22" t="n"/>
      <c r="C84" s="22" t="n"/>
      <c r="D84" s="22" t="n"/>
      <c r="E84" s="22" t="n"/>
      <c r="F84" s="22" t="n"/>
      <c r="H84" s="22" t="n"/>
      <c r="J84" s="22" t="n"/>
      <c r="K84" s="22" t="n"/>
    </row>
    <row r="85">
      <c r="A85" s="22" t="n"/>
      <c r="B85" s="22" t="n"/>
      <c r="C85" s="22" t="n"/>
      <c r="D85" s="22" t="n"/>
      <c r="E85" s="22" t="n"/>
      <c r="F85" s="22" t="n"/>
      <c r="H85" s="22" t="n"/>
      <c r="J85" s="22" t="n"/>
      <c r="K85" s="22" t="n"/>
    </row>
    <row r="86">
      <c r="A86" s="22" t="n"/>
      <c r="B86" s="22" t="n"/>
      <c r="C86" s="22" t="n"/>
      <c r="D86" s="22" t="n"/>
      <c r="E86" s="22" t="n"/>
      <c r="F86" s="22" t="n"/>
      <c r="H86" s="22" t="n"/>
      <c r="J86" s="22" t="n"/>
      <c r="K86" s="22" t="n"/>
    </row>
    <row r="87">
      <c r="A87" s="22" t="n"/>
      <c r="B87" s="22" t="n"/>
      <c r="C87" s="22" t="n"/>
      <c r="D87" s="22" t="n"/>
      <c r="E87" s="22" t="n"/>
      <c r="F87" s="22" t="n"/>
      <c r="H87" s="22" t="n"/>
      <c r="J87" s="22" t="n"/>
      <c r="K87" s="22" t="n"/>
    </row>
    <row r="88">
      <c r="A88" s="22" t="n"/>
      <c r="B88" s="22" t="n"/>
      <c r="C88" s="22" t="n"/>
      <c r="D88" s="22" t="n"/>
      <c r="E88" s="22" t="n"/>
      <c r="F88" s="22" t="n"/>
      <c r="H88" s="22" t="n"/>
      <c r="J88" s="22" t="n"/>
      <c r="K88" s="22" t="n"/>
    </row>
    <row r="89">
      <c r="A89" s="22" t="n"/>
      <c r="B89" s="22" t="n"/>
      <c r="C89" s="22" t="n"/>
      <c r="D89" s="22" t="n"/>
      <c r="E89" s="22" t="n"/>
      <c r="F89" s="22" t="n"/>
      <c r="H89" s="22" t="n"/>
      <c r="J89" s="22" t="n"/>
      <c r="K89" s="22" t="n"/>
    </row>
    <row r="90">
      <c r="A90" s="22" t="n"/>
      <c r="B90" s="22" t="n"/>
      <c r="C90" s="22" t="n"/>
      <c r="D90" s="22" t="n"/>
      <c r="E90" s="22" t="n"/>
      <c r="F90" s="22" t="n"/>
      <c r="H90" s="22" t="n"/>
      <c r="J90" s="22" t="n"/>
      <c r="K90" s="22" t="n"/>
    </row>
    <row r="91">
      <c r="A91" s="22" t="n"/>
      <c r="B91" s="22" t="n"/>
      <c r="C91" s="22" t="n"/>
      <c r="D91" s="22" t="n"/>
      <c r="E91" s="22" t="n"/>
      <c r="F91" s="22" t="n"/>
      <c r="H91" s="22" t="n"/>
      <c r="J91" s="22" t="n"/>
      <c r="K91" s="22" t="n"/>
    </row>
    <row r="92">
      <c r="A92" s="22" t="n"/>
      <c r="B92" s="22" t="n"/>
      <c r="C92" s="22" t="n"/>
      <c r="D92" s="22" t="n"/>
      <c r="E92" s="22" t="n"/>
      <c r="F92" s="22" t="n"/>
      <c r="H92" s="22" t="n"/>
      <c r="J92" s="22" t="n"/>
      <c r="K92" s="22" t="n"/>
    </row>
    <row r="93">
      <c r="A93" s="22" t="n"/>
      <c r="B93" s="22" t="n"/>
      <c r="C93" s="22" t="n"/>
      <c r="D93" s="22" t="n"/>
      <c r="E93" s="22" t="n"/>
      <c r="F93" s="22" t="n"/>
      <c r="H93" s="22" t="n"/>
      <c r="J93" s="22" t="n"/>
      <c r="K93" s="22" t="n"/>
    </row>
    <row r="94">
      <c r="A94" s="22" t="n"/>
      <c r="B94" s="22" t="n"/>
      <c r="C94" s="22" t="n"/>
      <c r="D94" s="22" t="n"/>
      <c r="E94" s="22" t="n"/>
      <c r="F94" s="22" t="n"/>
      <c r="H94" s="22" t="n"/>
      <c r="J94" s="22" t="n"/>
      <c r="K94" s="22" t="n"/>
    </row>
    <row r="95">
      <c r="A95" s="22" t="n"/>
      <c r="B95" s="22" t="n"/>
      <c r="C95" s="22" t="n"/>
      <c r="D95" s="22" t="n"/>
      <c r="E95" s="22" t="n"/>
      <c r="F95" s="22" t="n"/>
      <c r="H95" s="22" t="n"/>
      <c r="J95" s="22" t="n"/>
      <c r="K95" s="22" t="n"/>
    </row>
    <row r="96">
      <c r="A96" s="22" t="n"/>
      <c r="B96" s="22" t="n"/>
      <c r="C96" s="22" t="n"/>
      <c r="D96" s="22" t="n"/>
      <c r="E96" s="22" t="n"/>
      <c r="F96" s="22" t="n"/>
      <c r="H96" s="22" t="n"/>
      <c r="J96" s="22" t="n"/>
      <c r="K96" s="22" t="n"/>
    </row>
    <row r="97">
      <c r="A97" s="22" t="n"/>
      <c r="B97" s="22" t="n"/>
      <c r="C97" s="22" t="n"/>
      <c r="D97" s="22" t="n"/>
      <c r="E97" s="22" t="n"/>
      <c r="F97" s="22" t="n"/>
      <c r="H97" s="22" t="n"/>
      <c r="J97" s="22" t="n"/>
      <c r="K97" s="22" t="n"/>
    </row>
    <row r="98">
      <c r="A98" s="22" t="n"/>
      <c r="B98" s="22" t="n"/>
      <c r="C98" s="22" t="n"/>
      <c r="D98" s="22" t="n"/>
      <c r="E98" s="22" t="n"/>
      <c r="F98" s="22" t="n"/>
      <c r="H98" s="22" t="n"/>
      <c r="J98" s="22" t="n"/>
      <c r="K98" s="22" t="n"/>
    </row>
    <row r="99">
      <c r="A99" s="22" t="n"/>
      <c r="B99" s="22" t="n"/>
      <c r="C99" s="22" t="n"/>
      <c r="D99" s="22" t="n"/>
      <c r="E99" s="22" t="n"/>
      <c r="F99" s="22" t="n"/>
      <c r="H99" s="22" t="n"/>
      <c r="J99" s="22" t="n"/>
      <c r="K99" s="22" t="n"/>
    </row>
    <row r="100">
      <c r="A100" s="22" t="n"/>
      <c r="B100" s="22" t="n"/>
      <c r="C100" s="22" t="n"/>
      <c r="D100" s="22" t="n"/>
      <c r="E100" s="22" t="n"/>
      <c r="F100" s="22" t="n"/>
      <c r="H100" s="22" t="n"/>
      <c r="J100" s="22" t="n"/>
      <c r="K100" s="22" t="n"/>
    </row>
    <row r="101">
      <c r="A101" s="22" t="n"/>
      <c r="B101" s="22" t="n"/>
      <c r="C101" s="22" t="n"/>
      <c r="D101" s="22" t="n"/>
      <c r="E101" s="22" t="n"/>
      <c r="F101" s="22" t="n"/>
      <c r="H101" s="22" t="n"/>
      <c r="J101" s="22" t="n"/>
      <c r="K101" s="22" t="n"/>
    </row>
    <row r="102">
      <c r="A102" s="22" t="n"/>
      <c r="B102" s="22" t="n"/>
      <c r="C102" s="22" t="n"/>
      <c r="D102" s="22" t="n"/>
      <c r="E102" s="22" t="n"/>
      <c r="F102" s="22" t="n"/>
      <c r="H102" s="22" t="n"/>
      <c r="J102" s="22" t="n"/>
      <c r="K102" s="22" t="n"/>
    </row>
    <row r="103">
      <c r="A103" s="22" t="n"/>
      <c r="B103" s="22" t="n"/>
      <c r="C103" s="22" t="n"/>
      <c r="D103" s="22" t="n"/>
      <c r="E103" s="22" t="n"/>
      <c r="F103" s="22" t="n"/>
      <c r="H103" s="22" t="n"/>
      <c r="J103" s="22" t="n"/>
      <c r="K103" s="22" t="n"/>
    </row>
    <row r="104">
      <c r="A104" s="22" t="n"/>
      <c r="B104" s="22" t="n"/>
      <c r="C104" s="22" t="n"/>
      <c r="D104" s="22" t="n"/>
      <c r="E104" s="22" t="n"/>
      <c r="F104" s="22" t="n"/>
      <c r="H104" s="22" t="n"/>
      <c r="J104" s="22" t="n"/>
      <c r="K104" s="22" t="n"/>
    </row>
    <row r="105">
      <c r="A105" s="22" t="n"/>
      <c r="B105" s="22" t="n"/>
      <c r="C105" s="22" t="n"/>
      <c r="D105" s="22" t="n"/>
      <c r="E105" s="22" t="n"/>
      <c r="F105" s="22" t="n"/>
      <c r="H105" s="22" t="n"/>
      <c r="J105" s="22" t="n"/>
      <c r="K105" s="22" t="n"/>
    </row>
    <row r="106">
      <c r="A106" s="22" t="n"/>
      <c r="B106" s="22" t="n"/>
      <c r="C106" s="22" t="n"/>
      <c r="D106" s="22" t="n"/>
      <c r="E106" s="22" t="n"/>
      <c r="F106" s="22" t="n"/>
      <c r="H106" s="22" t="n"/>
      <c r="J106" s="22" t="n"/>
      <c r="K106" s="22" t="n"/>
    </row>
    <row r="107">
      <c r="A107" s="22" t="n"/>
      <c r="B107" s="22" t="n"/>
      <c r="C107" s="22" t="n"/>
      <c r="D107" s="22" t="n"/>
      <c r="E107" s="22" t="n"/>
      <c r="F107" s="22" t="n"/>
      <c r="H107" s="22" t="n"/>
      <c r="J107" s="22" t="n"/>
      <c r="K107" s="22" t="n"/>
    </row>
    <row r="108">
      <c r="A108" s="22" t="n"/>
      <c r="B108" s="22" t="n"/>
      <c r="C108" s="22" t="n"/>
      <c r="D108" s="22" t="n"/>
      <c r="E108" s="22" t="n"/>
      <c r="F108" s="22" t="n"/>
      <c r="H108" s="22" t="n"/>
      <c r="J108" s="22" t="n"/>
      <c r="K108" s="22" t="n"/>
    </row>
    <row r="109">
      <c r="A109" s="22" t="n"/>
      <c r="B109" s="22" t="n"/>
      <c r="C109" s="22" t="n"/>
      <c r="D109" s="22" t="n"/>
      <c r="E109" s="22" t="n"/>
      <c r="F109" s="22" t="n"/>
      <c r="H109" s="22" t="n"/>
      <c r="J109" s="22" t="n"/>
      <c r="K109" s="22" t="n"/>
    </row>
    <row r="110">
      <c r="A110" s="22" t="n"/>
      <c r="B110" s="22" t="n"/>
      <c r="C110" s="22" t="n"/>
      <c r="D110" s="22" t="n"/>
      <c r="E110" s="22" t="n"/>
      <c r="F110" s="22" t="n"/>
      <c r="H110" s="22" t="n"/>
      <c r="J110" s="22" t="n"/>
      <c r="K110" s="22" t="n"/>
    </row>
    <row r="111">
      <c r="A111" s="22" t="n"/>
      <c r="B111" s="22" t="n"/>
      <c r="C111" s="22" t="n"/>
      <c r="D111" s="22" t="n"/>
      <c r="E111" s="22" t="n"/>
      <c r="F111" s="22" t="n"/>
      <c r="H111" s="22" t="n"/>
      <c r="J111" s="22" t="n"/>
      <c r="K111" s="22" t="n"/>
    </row>
    <row r="112">
      <c r="A112" s="22" t="n"/>
      <c r="B112" s="22" t="n"/>
      <c r="C112" s="22" t="n"/>
      <c r="D112" s="22" t="n"/>
      <c r="E112" s="22" t="n"/>
      <c r="F112" s="22" t="n"/>
      <c r="H112" s="22" t="n"/>
      <c r="J112" s="22" t="n"/>
      <c r="K112" s="22" t="n"/>
    </row>
    <row r="113">
      <c r="A113" s="22" t="n"/>
      <c r="B113" s="22" t="n"/>
      <c r="C113" s="22" t="n"/>
      <c r="D113" s="22" t="n"/>
      <c r="E113" s="22" t="n"/>
      <c r="F113" s="22" t="n"/>
      <c r="H113" s="22" t="n"/>
      <c r="J113" s="22" t="n"/>
      <c r="K113" s="22" t="n"/>
    </row>
    <row r="114">
      <c r="A114" s="22" t="n"/>
      <c r="B114" s="22" t="n"/>
      <c r="C114" s="22" t="n"/>
      <c r="D114" s="22" t="n"/>
      <c r="E114" s="22" t="n"/>
      <c r="F114" s="22" t="n"/>
      <c r="H114" s="22" t="n"/>
      <c r="J114" s="22" t="n"/>
      <c r="K114" s="22" t="n"/>
    </row>
    <row r="115">
      <c r="A115" s="22" t="n"/>
      <c r="B115" s="22" t="n"/>
      <c r="C115" s="22" t="n"/>
      <c r="D115" s="22" t="n"/>
      <c r="E115" s="22" t="n"/>
      <c r="F115" s="22" t="n"/>
      <c r="H115" s="22" t="n"/>
      <c r="J115" s="22" t="n"/>
      <c r="K115" s="22" t="n"/>
    </row>
    <row r="116">
      <c r="A116" s="22" t="n"/>
      <c r="B116" s="22" t="n"/>
      <c r="C116" s="22" t="n"/>
      <c r="D116" s="22" t="n"/>
      <c r="E116" s="22" t="n"/>
      <c r="F116" s="22" t="n"/>
      <c r="H116" s="22" t="n"/>
      <c r="J116" s="22" t="n"/>
      <c r="K116" s="22" t="n"/>
    </row>
    <row r="117">
      <c r="A117" s="22" t="n"/>
      <c r="B117" s="22" t="n"/>
      <c r="C117" s="22" t="n"/>
      <c r="D117" s="22" t="n"/>
      <c r="E117" s="22" t="n"/>
      <c r="F117" s="22" t="n"/>
      <c r="H117" s="22" t="n"/>
      <c r="J117" s="22" t="n"/>
      <c r="K117" s="22" t="n"/>
    </row>
    <row r="118">
      <c r="A118" s="22" t="n"/>
      <c r="B118" s="22" t="n"/>
      <c r="C118" s="22" t="n"/>
      <c r="D118" s="22" t="n"/>
      <c r="E118" s="22" t="n"/>
      <c r="F118" s="22" t="n"/>
      <c r="H118" s="22" t="n"/>
      <c r="J118" s="22" t="n"/>
      <c r="K118" s="22" t="n"/>
    </row>
    <row r="119">
      <c r="A119" s="22" t="n"/>
      <c r="B119" s="22" t="n"/>
      <c r="C119" s="22" t="n"/>
      <c r="D119" s="22" t="n"/>
      <c r="E119" s="22" t="n"/>
      <c r="F119" s="22" t="n"/>
      <c r="H119" s="22" t="n"/>
      <c r="J119" s="22" t="n"/>
      <c r="K119" s="22" t="n"/>
    </row>
    <row r="120">
      <c r="A120" s="22" t="n"/>
      <c r="B120" s="22" t="n"/>
      <c r="C120" s="22" t="n"/>
      <c r="D120" s="22" t="n"/>
      <c r="E120" s="22" t="n"/>
      <c r="F120" s="22" t="n"/>
      <c r="H120" s="22" t="n"/>
      <c r="J120" s="22" t="n"/>
      <c r="K120" s="22" t="n"/>
    </row>
    <row r="121">
      <c r="A121" s="22" t="n"/>
      <c r="B121" s="22" t="n"/>
      <c r="C121" s="22" t="n"/>
      <c r="D121" s="22" t="n"/>
      <c r="E121" s="22" t="n"/>
      <c r="F121" s="22" t="n"/>
      <c r="H121" s="22" t="n"/>
      <c r="J121" s="22" t="n"/>
      <c r="K121" s="22" t="n"/>
    </row>
    <row r="122">
      <c r="A122" s="22" t="n"/>
      <c r="B122" s="22" t="n"/>
      <c r="C122" s="22" t="n"/>
      <c r="D122" s="22" t="n"/>
      <c r="E122" s="22" t="n"/>
      <c r="F122" s="22" t="n"/>
      <c r="H122" s="22" t="n"/>
      <c r="J122" s="22" t="n"/>
      <c r="K122" s="22" t="n"/>
    </row>
    <row r="123">
      <c r="A123" s="22" t="n"/>
      <c r="B123" s="22" t="n"/>
      <c r="C123" s="22" t="n"/>
      <c r="D123" s="22" t="n"/>
      <c r="E123" s="22" t="n"/>
      <c r="F123" s="22" t="n"/>
      <c r="H123" s="22" t="n"/>
      <c r="J123" s="22" t="n"/>
      <c r="K123" s="22" t="n"/>
    </row>
    <row r="124">
      <c r="A124" s="22" t="n"/>
      <c r="B124" s="22" t="n"/>
      <c r="C124" s="22" t="n"/>
      <c r="D124" s="22" t="n"/>
      <c r="E124" s="22" t="n"/>
      <c r="F124" s="22" t="n"/>
      <c r="H124" s="22" t="n"/>
      <c r="J124" s="22" t="n"/>
      <c r="K124" s="22" t="n"/>
    </row>
    <row r="125">
      <c r="A125" s="22" t="n"/>
      <c r="B125" s="22" t="n"/>
      <c r="C125" s="22" t="n"/>
      <c r="D125" s="22" t="n"/>
      <c r="E125" s="22" t="n"/>
      <c r="F125" s="22" t="n"/>
      <c r="H125" s="22" t="n"/>
      <c r="J125" s="22" t="n"/>
      <c r="K125" s="22" t="n"/>
    </row>
    <row r="126">
      <c r="A126" s="22" t="n"/>
      <c r="B126" s="22" t="n"/>
      <c r="C126" s="22" t="n"/>
      <c r="D126" s="22" t="n"/>
      <c r="E126" s="22" t="n"/>
      <c r="F126" s="22" t="n"/>
      <c r="H126" s="22" t="n"/>
      <c r="J126" s="22" t="n"/>
      <c r="K126" s="22" t="n"/>
    </row>
    <row r="127">
      <c r="A127" s="22" t="n"/>
      <c r="B127" s="22" t="n"/>
      <c r="C127" s="22" t="n"/>
      <c r="D127" s="22" t="n"/>
      <c r="E127" s="22" t="n"/>
      <c r="F127" s="22" t="n"/>
      <c r="H127" s="22" t="n"/>
      <c r="J127" s="22" t="n"/>
      <c r="K127" s="22" t="n"/>
    </row>
    <row r="128">
      <c r="A128" s="22" t="n"/>
      <c r="B128" s="22" t="n"/>
      <c r="C128" s="22" t="n"/>
      <c r="D128" s="22" t="n"/>
      <c r="E128" s="22" t="n"/>
      <c r="F128" s="22" t="n"/>
      <c r="H128" s="22" t="n"/>
      <c r="J128" s="22" t="n"/>
      <c r="K128" s="22" t="n"/>
    </row>
    <row r="129">
      <c r="A129" s="22" t="n"/>
      <c r="B129" s="22" t="n"/>
      <c r="C129" s="22" t="n"/>
      <c r="D129" s="22" t="n"/>
      <c r="E129" s="22" t="n"/>
      <c r="F129" s="22" t="n"/>
      <c r="H129" s="22" t="n"/>
      <c r="J129" s="22" t="n"/>
      <c r="K129" s="22" t="n"/>
    </row>
    <row r="130">
      <c r="A130" s="22" t="n"/>
      <c r="B130" s="22" t="n"/>
      <c r="C130" s="22" t="n"/>
      <c r="D130" s="22" t="n"/>
      <c r="E130" s="22" t="n"/>
      <c r="F130" s="22" t="n"/>
      <c r="H130" s="22" t="n"/>
      <c r="J130" s="22" t="n"/>
      <c r="K130" s="22" t="n"/>
    </row>
    <row r="131">
      <c r="A131" s="22" t="n"/>
      <c r="B131" s="22" t="n"/>
      <c r="C131" s="22" t="n"/>
      <c r="D131" s="22" t="n"/>
      <c r="E131" s="22" t="n"/>
      <c r="F131" s="22" t="n"/>
      <c r="H131" s="22" t="n"/>
      <c r="J131" s="22" t="n"/>
      <c r="K131" s="22" t="n"/>
    </row>
    <row r="132">
      <c r="A132" s="22" t="n"/>
      <c r="B132" s="22" t="n"/>
      <c r="C132" s="22" t="n"/>
      <c r="D132" s="22" t="n"/>
      <c r="E132" s="22" t="n"/>
      <c r="F132" s="22" t="n"/>
      <c r="H132" s="22" t="n"/>
      <c r="J132" s="22" t="n"/>
      <c r="K132" s="22" t="n"/>
    </row>
    <row r="133">
      <c r="A133" s="22" t="n"/>
      <c r="B133" s="22" t="n"/>
      <c r="C133" s="22" t="n"/>
      <c r="D133" s="22" t="n"/>
      <c r="E133" s="22" t="n"/>
      <c r="F133" s="22" t="n"/>
      <c r="H133" s="22" t="n"/>
      <c r="J133" s="22" t="n"/>
      <c r="K133" s="22" t="n"/>
    </row>
    <row r="134">
      <c r="A134" s="22" t="n"/>
      <c r="B134" s="22" t="n"/>
      <c r="C134" s="22" t="n"/>
      <c r="D134" s="22" t="n"/>
      <c r="E134" s="22" t="n"/>
      <c r="F134" s="22" t="n"/>
      <c r="H134" s="22" t="n"/>
      <c r="J134" s="22" t="n"/>
      <c r="K134" s="22" t="n"/>
    </row>
    <row r="135">
      <c r="A135" s="22" t="n"/>
      <c r="B135" s="22" t="n"/>
      <c r="C135" s="22" t="n"/>
      <c r="D135" s="22" t="n"/>
      <c r="E135" s="22" t="n"/>
      <c r="F135" s="22" t="n"/>
      <c r="H135" s="22" t="n"/>
      <c r="J135" s="22" t="n"/>
      <c r="K135" s="22" t="n"/>
    </row>
    <row r="136">
      <c r="A136" s="22" t="n"/>
      <c r="B136" s="22" t="n"/>
      <c r="C136" s="22" t="n"/>
      <c r="D136" s="22" t="n"/>
      <c r="E136" s="22" t="n"/>
      <c r="F136" s="22" t="n"/>
      <c r="H136" s="22" t="n"/>
      <c r="J136" s="22" t="n"/>
      <c r="K136" s="22" t="n"/>
    </row>
    <row r="137">
      <c r="A137" s="22" t="n"/>
      <c r="B137" s="22" t="n"/>
      <c r="C137" s="22" t="n"/>
      <c r="D137" s="22" t="n"/>
      <c r="E137" s="22" t="n"/>
      <c r="F137" s="22" t="n"/>
      <c r="H137" s="22" t="n"/>
      <c r="J137" s="22" t="n"/>
      <c r="K137" s="22" t="n"/>
    </row>
    <row r="138">
      <c r="A138" s="22" t="n"/>
      <c r="B138" s="22" t="n"/>
      <c r="C138" s="22" t="n"/>
      <c r="D138" s="22" t="n"/>
      <c r="E138" s="22" t="n"/>
      <c r="F138" s="22" t="n"/>
      <c r="H138" s="22" t="n"/>
      <c r="J138" s="22" t="n"/>
      <c r="K138" s="22" t="n"/>
    </row>
    <row r="139">
      <c r="A139" s="22" t="n"/>
      <c r="B139" s="22" t="n"/>
      <c r="C139" s="22" t="n"/>
      <c r="D139" s="22" t="n"/>
      <c r="E139" s="22" t="n"/>
      <c r="F139" s="22" t="n"/>
      <c r="H139" s="22" t="n"/>
      <c r="J139" s="22" t="n"/>
      <c r="K139" s="22" t="n"/>
    </row>
    <row r="140">
      <c r="A140" s="22" t="n"/>
      <c r="B140" s="22" t="n"/>
      <c r="C140" s="22" t="n"/>
      <c r="D140" s="22" t="n"/>
      <c r="E140" s="22" t="n"/>
      <c r="F140" s="22" t="n"/>
      <c r="H140" s="22" t="n"/>
      <c r="J140" s="22" t="n"/>
      <c r="K140" s="22" t="n"/>
    </row>
    <row r="141">
      <c r="A141" s="22" t="n"/>
      <c r="B141" s="22" t="n"/>
      <c r="C141" s="22" t="n"/>
      <c r="D141" s="22" t="n"/>
      <c r="E141" s="22" t="n"/>
      <c r="F141" s="22" t="n"/>
      <c r="H141" s="22" t="n"/>
      <c r="J141" s="22" t="n"/>
      <c r="K141" s="22" t="n"/>
    </row>
    <row r="142">
      <c r="A142" s="22" t="n"/>
      <c r="B142" s="22" t="n"/>
      <c r="C142" s="22" t="n"/>
      <c r="D142" s="22" t="n"/>
      <c r="E142" s="22" t="n"/>
      <c r="F142" s="22" t="n"/>
      <c r="H142" s="22" t="n"/>
      <c r="J142" s="22" t="n"/>
      <c r="K142" s="22" t="n"/>
    </row>
    <row r="143">
      <c r="A143" s="22" t="n"/>
      <c r="B143" s="22" t="n"/>
      <c r="C143" s="22" t="n"/>
      <c r="D143" s="22" t="n"/>
      <c r="E143" s="22" t="n"/>
      <c r="F143" s="22" t="n"/>
      <c r="H143" s="22" t="n"/>
      <c r="J143" s="22" t="n"/>
      <c r="K143" s="22" t="n"/>
    </row>
    <row r="144">
      <c r="A144" s="22" t="n"/>
      <c r="B144" s="22" t="n"/>
      <c r="C144" s="22" t="n"/>
      <c r="D144" s="22" t="n"/>
      <c r="E144" s="22" t="n"/>
      <c r="F144" s="22" t="n"/>
      <c r="H144" s="22" t="n"/>
      <c r="J144" s="22" t="n"/>
      <c r="K144" s="22" t="n"/>
    </row>
    <row r="145">
      <c r="A145" s="22" t="n"/>
      <c r="B145" s="22" t="n"/>
      <c r="C145" s="22" t="n"/>
      <c r="D145" s="22" t="n"/>
      <c r="E145" s="22" t="n"/>
      <c r="F145" s="22" t="n"/>
      <c r="H145" s="22" t="n"/>
      <c r="J145" s="22" t="n"/>
      <c r="K145" s="22" t="n"/>
    </row>
    <row r="146">
      <c r="A146" s="22" t="n"/>
      <c r="B146" s="22" t="n"/>
      <c r="C146" s="22" t="n"/>
      <c r="D146" s="22" t="n"/>
      <c r="E146" s="22" t="n"/>
      <c r="F146" s="22" t="n"/>
      <c r="H146" s="22" t="n"/>
      <c r="J146" s="22" t="n"/>
      <c r="K146" s="22" t="n"/>
    </row>
    <row r="147">
      <c r="A147" s="22" t="n"/>
      <c r="B147" s="22" t="n"/>
      <c r="C147" s="22" t="n"/>
      <c r="D147" s="22" t="n"/>
      <c r="E147" s="22" t="n"/>
      <c r="F147" s="22" t="n"/>
      <c r="H147" s="22" t="n"/>
      <c r="J147" s="22" t="n"/>
      <c r="K147" s="22" t="n"/>
    </row>
    <row r="148">
      <c r="A148" s="22" t="n"/>
      <c r="B148" s="22" t="n"/>
      <c r="C148" s="22" t="n"/>
      <c r="D148" s="22" t="n"/>
      <c r="E148" s="22" t="n"/>
      <c r="F148" s="22" t="n"/>
      <c r="H148" s="22" t="n"/>
      <c r="J148" s="22" t="n"/>
      <c r="K148" s="22" t="n"/>
    </row>
    <row r="149">
      <c r="A149" s="22" t="n"/>
      <c r="B149" s="22" t="n"/>
      <c r="C149" s="22" t="n"/>
      <c r="D149" s="22" t="n"/>
      <c r="E149" s="22" t="n"/>
      <c r="F149" s="22" t="n"/>
      <c r="H149" s="22" t="n"/>
      <c r="J149" s="22" t="n"/>
      <c r="K149" s="22" t="n"/>
    </row>
    <row r="150">
      <c r="A150" s="22" t="n"/>
      <c r="B150" s="22" t="n"/>
      <c r="C150" s="22" t="n"/>
      <c r="D150" s="22" t="n"/>
      <c r="E150" s="22" t="n"/>
      <c r="F150" s="22" t="n"/>
      <c r="H150" s="22" t="n"/>
      <c r="J150" s="22" t="n"/>
      <c r="K150" s="22" t="n"/>
    </row>
    <row r="151">
      <c r="A151" s="22" t="n"/>
      <c r="B151" s="22" t="n"/>
      <c r="C151" s="22" t="n"/>
      <c r="D151" s="22" t="n"/>
      <c r="E151" s="22" t="n"/>
      <c r="F151" s="22" t="n"/>
      <c r="H151" s="22" t="n"/>
      <c r="J151" s="22" t="n"/>
      <c r="K151" s="22" t="n"/>
    </row>
    <row r="152">
      <c r="A152" s="22" t="n"/>
      <c r="B152" s="22" t="n"/>
      <c r="C152" s="22" t="n"/>
      <c r="D152" s="22" t="n"/>
      <c r="E152" s="22" t="n"/>
      <c r="F152" s="22" t="n"/>
      <c r="H152" s="22" t="n"/>
      <c r="J152" s="22" t="n"/>
      <c r="K152" s="22" t="n"/>
    </row>
    <row r="153">
      <c r="A153" s="22" t="n"/>
      <c r="B153" s="22" t="n"/>
      <c r="C153" s="22" t="n"/>
      <c r="D153" s="22" t="n"/>
      <c r="E153" s="22" t="n"/>
      <c r="F153" s="22" t="n"/>
      <c r="H153" s="22" t="n"/>
      <c r="J153" s="22" t="n"/>
      <c r="K153" s="22" t="n"/>
    </row>
    <row r="154">
      <c r="A154" s="22" t="n"/>
      <c r="B154" s="22" t="n"/>
      <c r="C154" s="22" t="n"/>
      <c r="D154" s="22" t="n"/>
      <c r="E154" s="22" t="n"/>
      <c r="F154" s="22" t="n"/>
      <c r="H154" s="22" t="n"/>
      <c r="J154" s="22" t="n"/>
      <c r="K154" s="22" t="n"/>
    </row>
    <row r="155">
      <c r="A155" s="22" t="n"/>
      <c r="B155" s="22" t="n"/>
      <c r="C155" s="22" t="n"/>
      <c r="D155" s="22" t="n"/>
      <c r="E155" s="22" t="n"/>
      <c r="F155" s="22" t="n"/>
      <c r="H155" s="22" t="n"/>
      <c r="J155" s="22" t="n"/>
      <c r="K155" s="22" t="n"/>
    </row>
    <row r="156">
      <c r="A156" s="22" t="n"/>
      <c r="B156" s="22" t="n"/>
      <c r="C156" s="22" t="n"/>
      <c r="D156" s="22" t="n"/>
      <c r="E156" s="22" t="n"/>
      <c r="F156" s="22" t="n"/>
      <c r="H156" s="22" t="n"/>
      <c r="J156" s="22" t="n"/>
      <c r="K156" s="22" t="n"/>
    </row>
    <row r="157">
      <c r="A157" s="22" t="n"/>
      <c r="B157" s="22" t="n"/>
      <c r="C157" s="22" t="n"/>
      <c r="D157" s="22" t="n"/>
      <c r="E157" s="22" t="n"/>
      <c r="F157" s="22" t="n"/>
      <c r="H157" s="22" t="n"/>
      <c r="J157" s="22" t="n"/>
      <c r="K157" s="22" t="n"/>
    </row>
    <row r="158">
      <c r="A158" s="22" t="n"/>
      <c r="B158" s="22" t="n"/>
      <c r="C158" s="22" t="n"/>
      <c r="D158" s="22" t="n"/>
      <c r="E158" s="22" t="n"/>
      <c r="F158" s="22" t="n"/>
      <c r="H158" s="22" t="n"/>
      <c r="J158" s="22" t="n"/>
      <c r="K158" s="22" t="n"/>
    </row>
    <row r="159">
      <c r="A159" s="22" t="n"/>
      <c r="B159" s="22" t="n"/>
      <c r="C159" s="22" t="n"/>
      <c r="D159" s="22" t="n"/>
      <c r="E159" s="22" t="n"/>
      <c r="F159" s="22" t="n"/>
      <c r="H159" s="22" t="n"/>
      <c r="J159" s="22" t="n"/>
      <c r="K159" s="22" t="n"/>
    </row>
    <row r="160">
      <c r="A160" s="22" t="n"/>
      <c r="B160" s="22" t="n"/>
      <c r="C160" s="22" t="n"/>
      <c r="D160" s="22" t="n"/>
      <c r="E160" s="22" t="n"/>
      <c r="F160" s="22" t="n"/>
      <c r="H160" s="22" t="n"/>
      <c r="J160" s="22" t="n"/>
      <c r="K160" s="22" t="n"/>
    </row>
    <row r="161">
      <c r="A161" s="22" t="n"/>
      <c r="B161" s="22" t="n"/>
      <c r="C161" s="22" t="n"/>
      <c r="D161" s="22" t="n"/>
      <c r="E161" s="22" t="n"/>
      <c r="F161" s="22" t="n"/>
      <c r="H161" s="22" t="n"/>
      <c r="J161" s="22" t="n"/>
      <c r="K161" s="22" t="n"/>
    </row>
    <row r="162">
      <c r="A162" s="22" t="n"/>
      <c r="B162" s="22" t="n"/>
      <c r="C162" s="22" t="n"/>
      <c r="D162" s="22" t="n"/>
      <c r="E162" s="22" t="n"/>
      <c r="F162" s="22" t="n"/>
      <c r="H162" s="22" t="n"/>
      <c r="J162" s="22" t="n"/>
      <c r="K162" s="22" t="n"/>
    </row>
    <row r="163">
      <c r="A163" s="22" t="n"/>
      <c r="B163" s="22" t="n"/>
      <c r="C163" s="22" t="n"/>
      <c r="D163" s="22" t="n"/>
      <c r="E163" s="22" t="n"/>
      <c r="F163" s="22" t="n"/>
      <c r="H163" s="22" t="n"/>
      <c r="J163" s="22" t="n"/>
      <c r="K163" s="22" t="n"/>
    </row>
    <row r="164">
      <c r="A164" s="22" t="n"/>
      <c r="B164" s="22" t="n"/>
      <c r="C164" s="22" t="n"/>
      <c r="D164" s="22" t="n"/>
      <c r="E164" s="22" t="n"/>
      <c r="F164" s="22" t="n"/>
      <c r="H164" s="22" t="n"/>
      <c r="J164" s="22" t="n"/>
      <c r="K164" s="22" t="n"/>
    </row>
    <row r="165">
      <c r="A165" s="22" t="n"/>
      <c r="B165" s="22" t="n"/>
      <c r="C165" s="22" t="n"/>
      <c r="D165" s="22" t="n"/>
      <c r="E165" s="22" t="n"/>
      <c r="F165" s="22" t="n"/>
      <c r="H165" s="22" t="n"/>
      <c r="J165" s="22" t="n"/>
      <c r="K165" s="22" t="n"/>
    </row>
    <row r="166">
      <c r="A166" s="22" t="n"/>
      <c r="B166" s="22" t="n"/>
      <c r="C166" s="22" t="n"/>
      <c r="D166" s="22" t="n"/>
      <c r="E166" s="22" t="n"/>
      <c r="F166" s="22" t="n"/>
      <c r="H166" s="22" t="n"/>
      <c r="J166" s="22" t="n"/>
      <c r="K166" s="22" t="n"/>
    </row>
    <row r="167">
      <c r="A167" s="22" t="n"/>
      <c r="B167" s="22" t="n"/>
      <c r="C167" s="22" t="n"/>
      <c r="D167" s="22" t="n"/>
      <c r="E167" s="22" t="n"/>
      <c r="F167" s="22" t="n"/>
      <c r="H167" s="22" t="n"/>
      <c r="J167" s="22" t="n"/>
      <c r="K167" s="22" t="n"/>
    </row>
    <row r="168">
      <c r="A168" s="22" t="n"/>
      <c r="B168" s="22" t="n"/>
      <c r="C168" s="22" t="n"/>
      <c r="D168" s="22" t="n"/>
      <c r="E168" s="22" t="n"/>
      <c r="F168" s="22" t="n"/>
      <c r="H168" s="22" t="n"/>
      <c r="J168" s="22" t="n"/>
      <c r="K168" s="22" t="n"/>
    </row>
    <row r="169">
      <c r="A169" s="22" t="n"/>
      <c r="B169" s="22" t="n"/>
      <c r="C169" s="22" t="n"/>
      <c r="D169" s="22" t="n"/>
      <c r="E169" s="22" t="n"/>
      <c r="F169" s="22" t="n"/>
      <c r="H169" s="22" t="n"/>
      <c r="J169" s="22" t="n"/>
      <c r="K169" s="22" t="n"/>
    </row>
    <row r="170">
      <c r="A170" s="22" t="n"/>
      <c r="B170" s="22" t="n"/>
      <c r="C170" s="22" t="n"/>
      <c r="D170" s="22" t="n"/>
      <c r="E170" s="22" t="n"/>
      <c r="F170" s="22" t="n"/>
      <c r="H170" s="22" t="n"/>
      <c r="J170" s="22" t="n"/>
      <c r="K170" s="22" t="n"/>
    </row>
    <row r="171">
      <c r="A171" s="22" t="n"/>
      <c r="B171" s="22" t="n"/>
      <c r="C171" s="22" t="n"/>
      <c r="D171" s="22" t="n"/>
      <c r="E171" s="22" t="n"/>
      <c r="F171" s="22" t="n"/>
      <c r="H171" s="22" t="n"/>
      <c r="J171" s="22" t="n"/>
      <c r="K171" s="22" t="n"/>
    </row>
    <row r="172">
      <c r="A172" s="22" t="n"/>
      <c r="B172" s="22" t="n"/>
      <c r="C172" s="22" t="n"/>
      <c r="D172" s="22" t="n"/>
      <c r="E172" s="22" t="n"/>
      <c r="F172" s="22" t="n"/>
      <c r="H172" s="22" t="n"/>
      <c r="J172" s="22" t="n"/>
      <c r="K172" s="22" t="n"/>
    </row>
    <row r="173">
      <c r="A173" s="22" t="n"/>
      <c r="B173" s="22" t="n"/>
      <c r="C173" s="22" t="n"/>
      <c r="D173" s="22" t="n"/>
      <c r="E173" s="22" t="n"/>
      <c r="F173" s="22" t="n"/>
      <c r="H173" s="22" t="n"/>
      <c r="J173" s="22" t="n"/>
      <c r="K173" s="22" t="n"/>
    </row>
    <row r="174">
      <c r="A174" s="22" t="n"/>
      <c r="B174" s="22" t="n"/>
      <c r="C174" s="22" t="n"/>
      <c r="D174" s="22" t="n"/>
      <c r="E174" s="22" t="n"/>
      <c r="F174" s="22" t="n"/>
      <c r="H174" s="22" t="n"/>
      <c r="J174" s="22" t="n"/>
      <c r="K174" s="22" t="n"/>
    </row>
    <row r="175">
      <c r="A175" s="22" t="n"/>
      <c r="B175" s="22" t="n"/>
      <c r="C175" s="22" t="n"/>
      <c r="D175" s="22" t="n"/>
      <c r="E175" s="22" t="n"/>
      <c r="F175" s="22" t="n"/>
      <c r="H175" s="22" t="n"/>
      <c r="J175" s="22" t="n"/>
      <c r="K175" s="22" t="n"/>
    </row>
    <row r="176">
      <c r="A176" s="22" t="n"/>
      <c r="B176" s="22" t="n"/>
      <c r="C176" s="22" t="n"/>
      <c r="D176" s="22" t="n"/>
      <c r="E176" s="22" t="n"/>
      <c r="F176" s="22" t="n"/>
      <c r="H176" s="22" t="n"/>
      <c r="J176" s="22" t="n"/>
      <c r="K176" s="22" t="n"/>
    </row>
    <row r="177">
      <c r="A177" s="22" t="n"/>
      <c r="B177" s="22" t="n"/>
      <c r="C177" s="22" t="n"/>
      <c r="D177" s="22" t="n"/>
      <c r="E177" s="22" t="n"/>
      <c r="F177" s="22" t="n"/>
      <c r="H177" s="22" t="n"/>
      <c r="J177" s="22" t="n"/>
      <c r="K177" s="22" t="n"/>
    </row>
    <row r="178">
      <c r="A178" s="22" t="n"/>
      <c r="B178" s="22" t="n"/>
      <c r="C178" s="22" t="n"/>
      <c r="D178" s="22" t="n"/>
      <c r="E178" s="22" t="n"/>
      <c r="F178" s="22" t="n"/>
      <c r="H178" s="22" t="n"/>
      <c r="J178" s="22" t="n"/>
      <c r="K178" s="22" t="n"/>
    </row>
    <row r="179">
      <c r="A179" s="22" t="n"/>
      <c r="B179" s="22" t="n"/>
      <c r="C179" s="22" t="n"/>
      <c r="D179" s="22" t="n"/>
      <c r="E179" s="22" t="n"/>
      <c r="F179" s="22" t="n"/>
      <c r="H179" s="22" t="n"/>
      <c r="J179" s="22" t="n"/>
      <c r="K179" s="22" t="n"/>
    </row>
    <row r="180">
      <c r="A180" s="22" t="n"/>
      <c r="B180" s="22" t="n"/>
      <c r="C180" s="22" t="n"/>
      <c r="D180" s="22" t="n"/>
      <c r="E180" s="22" t="n"/>
      <c r="F180" s="22" t="n"/>
      <c r="H180" s="22" t="n"/>
      <c r="J180" s="22" t="n"/>
      <c r="K180" s="22" t="n"/>
    </row>
    <row r="181">
      <c r="A181" s="22" t="n"/>
      <c r="B181" s="22" t="n"/>
      <c r="C181" s="22" t="n"/>
      <c r="D181" s="22" t="n"/>
      <c r="E181" s="22" t="n"/>
      <c r="F181" s="22" t="n"/>
      <c r="H181" s="22" t="n"/>
      <c r="J181" s="22" t="n"/>
      <c r="K181" s="22" t="n"/>
    </row>
    <row r="182">
      <c r="A182" s="22" t="n"/>
      <c r="B182" s="22" t="n"/>
      <c r="C182" s="22" t="n"/>
      <c r="D182" s="22" t="n"/>
      <c r="E182" s="22" t="n"/>
      <c r="F182" s="22" t="n"/>
      <c r="H182" s="22" t="n"/>
      <c r="J182" s="22" t="n"/>
      <c r="K182" s="22" t="n"/>
    </row>
    <row r="183">
      <c r="A183" s="22" t="n"/>
      <c r="B183" s="22" t="n"/>
      <c r="C183" s="22" t="n"/>
      <c r="D183" s="22" t="n"/>
      <c r="E183" s="22" t="n"/>
      <c r="F183" s="22" t="n"/>
      <c r="H183" s="22" t="n"/>
      <c r="J183" s="22" t="n"/>
      <c r="K183" s="22" t="n"/>
    </row>
    <row r="184">
      <c r="A184" s="22" t="n"/>
      <c r="B184" s="22" t="n"/>
      <c r="C184" s="22" t="n"/>
      <c r="D184" s="22" t="n"/>
      <c r="E184" s="22" t="n"/>
      <c r="F184" s="22" t="n"/>
      <c r="H184" s="22" t="n"/>
      <c r="J184" s="22" t="n"/>
      <c r="K184" s="22" t="n"/>
    </row>
    <row r="185">
      <c r="A185" s="22" t="n"/>
      <c r="B185" s="22" t="n"/>
      <c r="C185" s="22" t="n"/>
      <c r="D185" s="22" t="n"/>
      <c r="E185" s="22" t="n"/>
      <c r="F185" s="22" t="n"/>
      <c r="H185" s="22" t="n"/>
      <c r="J185" s="22" t="n"/>
      <c r="K185" s="22" t="n"/>
    </row>
    <row r="186">
      <c r="A186" s="22" t="n"/>
      <c r="B186" s="22" t="n"/>
      <c r="C186" s="22" t="n"/>
      <c r="D186" s="22" t="n"/>
      <c r="E186" s="22" t="n"/>
      <c r="F186" s="22" t="n"/>
      <c r="H186" s="22" t="n"/>
      <c r="J186" s="22" t="n"/>
      <c r="K186" s="22" t="n"/>
    </row>
    <row r="187">
      <c r="A187" s="22" t="n"/>
      <c r="B187" s="22" t="n"/>
      <c r="C187" s="22" t="n"/>
      <c r="D187" s="22" t="n"/>
      <c r="E187" s="22" t="n"/>
      <c r="F187" s="22" t="n"/>
      <c r="H187" s="22" t="n"/>
      <c r="J187" s="22" t="n"/>
      <c r="K187" s="22" t="n"/>
    </row>
    <row r="188">
      <c r="A188" s="22" t="n"/>
      <c r="B188" s="22" t="n"/>
      <c r="C188" s="22" t="n"/>
      <c r="D188" s="22" t="n"/>
      <c r="E188" s="22" t="n"/>
      <c r="F188" s="22" t="n"/>
      <c r="H188" s="22" t="n"/>
      <c r="J188" s="22" t="n"/>
      <c r="K188" s="22" t="n"/>
    </row>
    <row r="189">
      <c r="A189" s="22" t="n"/>
      <c r="B189" s="22" t="n"/>
      <c r="C189" s="22" t="n"/>
      <c r="D189" s="22" t="n"/>
      <c r="E189" s="22" t="n"/>
      <c r="F189" s="22" t="n"/>
      <c r="H189" s="22" t="n"/>
      <c r="J189" s="22" t="n"/>
      <c r="K189" s="22" t="n"/>
    </row>
    <row r="190">
      <c r="A190" s="22" t="n"/>
      <c r="B190" s="22" t="n"/>
      <c r="C190" s="22" t="n"/>
      <c r="D190" s="22" t="n"/>
      <c r="E190" s="22" t="n"/>
      <c r="F190" s="22" t="n"/>
      <c r="H190" s="22" t="n"/>
      <c r="J190" s="22" t="n"/>
      <c r="K190" s="22" t="n"/>
    </row>
    <row r="191">
      <c r="A191" s="22" t="n"/>
      <c r="B191" s="22" t="n"/>
      <c r="C191" s="22" t="n"/>
      <c r="D191" s="22" t="n"/>
      <c r="E191" s="22" t="n"/>
      <c r="F191" s="22" t="n"/>
      <c r="H191" s="22" t="n"/>
      <c r="J191" s="22" t="n"/>
      <c r="K191" s="22" t="n"/>
    </row>
    <row r="192">
      <c r="A192" s="22" t="n"/>
      <c r="B192" s="22" t="n"/>
      <c r="C192" s="22" t="n"/>
      <c r="D192" s="22" t="n"/>
      <c r="E192" s="22" t="n"/>
      <c r="F192" s="22" t="n"/>
      <c r="H192" s="22" t="n"/>
      <c r="J192" s="22" t="n"/>
      <c r="K192" s="22" t="n"/>
    </row>
    <row r="193">
      <c r="A193" s="22" t="n"/>
      <c r="B193" s="22" t="n"/>
      <c r="C193" s="22" t="n"/>
      <c r="D193" s="22" t="n"/>
      <c r="E193" s="22" t="n"/>
      <c r="F193" s="22" t="n"/>
      <c r="H193" s="22" t="n"/>
      <c r="J193" s="22" t="n"/>
      <c r="K193" s="22" t="n"/>
    </row>
    <row r="194">
      <c r="A194" s="22" t="n"/>
      <c r="B194" s="22" t="n"/>
      <c r="C194" s="22" t="n"/>
      <c r="D194" s="22" t="n"/>
      <c r="E194" s="22" t="n"/>
      <c r="F194" s="22" t="n"/>
      <c r="H194" s="22" t="n"/>
      <c r="J194" s="22" t="n"/>
      <c r="K194" s="22" t="n"/>
    </row>
    <row r="195">
      <c r="A195" s="22" t="n"/>
      <c r="B195" s="22" t="n"/>
      <c r="C195" s="22" t="n"/>
      <c r="D195" s="22" t="n"/>
      <c r="E195" s="22" t="n"/>
      <c r="F195" s="22" t="n"/>
      <c r="H195" s="22" t="n"/>
      <c r="J195" s="22" t="n"/>
      <c r="K195" s="22" t="n"/>
    </row>
    <row r="196">
      <c r="A196" s="22" t="n"/>
      <c r="B196" s="22" t="n"/>
      <c r="C196" s="22" t="n"/>
      <c r="D196" s="22" t="n"/>
      <c r="E196" s="22" t="n"/>
      <c r="F196" s="22" t="n"/>
      <c r="H196" s="22" t="n"/>
      <c r="J196" s="22" t="n"/>
      <c r="K196" s="22" t="n"/>
    </row>
    <row r="197">
      <c r="A197" s="22" t="n"/>
      <c r="B197" s="22" t="n"/>
      <c r="C197" s="22" t="n"/>
      <c r="D197" s="22" t="n"/>
      <c r="E197" s="22" t="n"/>
      <c r="F197" s="22" t="n"/>
      <c r="H197" s="22" t="n"/>
      <c r="J197" s="22" t="n"/>
      <c r="K197" s="22" t="n"/>
    </row>
    <row r="198">
      <c r="A198" s="22" t="n"/>
      <c r="B198" s="22" t="n"/>
      <c r="C198" s="22" t="n"/>
      <c r="D198" s="22" t="n"/>
      <c r="E198" s="22" t="n"/>
      <c r="F198" s="22" t="n"/>
      <c r="H198" s="22" t="n"/>
      <c r="J198" s="22" t="n"/>
      <c r="K198" s="22" t="n"/>
    </row>
    <row r="199">
      <c r="A199" s="22" t="n"/>
      <c r="B199" s="22" t="n"/>
      <c r="C199" s="22" t="n"/>
      <c r="D199" s="22" t="n"/>
      <c r="E199" s="22" t="n"/>
      <c r="F199" s="22" t="n"/>
      <c r="H199" s="22" t="n"/>
      <c r="J199" s="22" t="n"/>
      <c r="K199" s="22" t="n"/>
    </row>
  </sheetData>
  <conditionalFormatting sqref="P2:P1000">
    <cfRule type="expression" priority="1" dxfId="0">
      <formula>$P2="Complete"</formula>
    </cfRule>
    <cfRule type="expression" priority="2" dxfId="1">
      <formula>$P2="Failed QC"</formula>
    </cfRule>
    <cfRule type="expression" priority="3" dxfId="2">
      <formula>$P2="Not received"</formula>
    </cfRule>
    <cfRule type="expression" priority="4" dxfId="2">
      <formula>$P2="Awaiting replacement"</formula>
    </cfRule>
  </conditionalFormatting>
  <conditionalFormatting sqref="W2:W1000">
    <cfRule type="expression" priority="5" dxfId="0">
      <formula>$W2="Genotyped"</formula>
    </cfRule>
    <cfRule type="expression" priority="6" dxfId="2">
      <formula>$W2="In this submission"</formula>
    </cfRule>
    <cfRule type="expression" priority="7" dxfId="1">
      <formula>$W2="Not genotyped"</formula>
    </cfRule>
  </conditionalFormatting>
  <conditionalFormatting sqref="X2:X1000">
    <cfRule type="expression" priority="8" dxfId="0">
      <formula>$X2="Genotyped"</formula>
    </cfRule>
    <cfRule type="expression" priority="9" dxfId="2">
      <formula>$X2="In this submission"</formula>
    </cfRule>
    <cfRule type="expression" priority="10" dxfId="1">
      <formula>$X2="Not genotyped"</formula>
    </cfRule>
  </conditionalFormatting>
  <dataValidations count="8">
    <dataValidation sqref="L2:L1000" showDropDown="0" showInputMessage="0" showErrorMessage="0" allowBlank="1" errorTitle="Not in list" error="Pick a value from the list" type="list">
      <formula1>"Y,N"</formula1>
    </dataValidation>
    <dataValidation sqref="M2:M1000" showDropDown="0" showInputMessage="0" showErrorMessage="0" allowBlank="1" errorTitle="Not in list" error="Pick a value from the list" type="list">
      <formula1>"Y,N"</formula1>
    </dataValidation>
    <dataValidation sqref="N2:N1000" showDropDown="0" showInputMessage="0" showErrorMessage="0" allowBlank="1" errorTitle="Not in list" error="Pick a value from the list" type="list">
      <formula1>"Y,N"</formula1>
    </dataValidation>
    <dataValidation sqref="G2:G1000" showDropDown="0" showInputMessage="0" showErrorMessage="0" allowBlank="1" errorTitle="Not in list" error="Pick a value from the list" type="list">
      <formula1>"M,F"</formula1>
    </dataValidation>
    <dataValidation sqref="I2:I1000" showDropDown="0" showInputMessage="0" showErrorMessage="0" allowBlank="1" errorTitle="Not in list" error="Pick a value from the list" type="list">
      <formula1>"Sire,Dam,Offspring,Other"</formula1>
    </dataValidation>
    <dataValidation sqref="P2:P1000" showDropDown="0" showInputMessage="0" showErrorMessage="0" allowBlank="1" errorTitle="Not in list" error="Pick a value from the list" type="list">
      <formula1>"Awaiting sample,Received,Not received,At lab,Complete,Failed QC,Awaiting replacement"</formula1>
    </dataValidation>
    <dataValidation sqref="AD2:AD1000" showDropDown="0" showInputMessage="0" showErrorMessage="0" allowBlank="1" errorTitle="Not in list" error="Pick a value from the list" type="list">
      <formula1>"Full,Partial,None"</formula1>
    </dataValidation>
    <dataValidation sqref="AC2:AC1000" showDropDown="0" showInputMessage="0" showErrorMessage="0" allowBlank="1" errorTitle="Not a cost-share program" error="Pick a program from the Cost_Share tab" type="list">
      <formula1>Cost_Share!$A$2:$A$100</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99"/>
  <sheetViews>
    <sheetView zoomScale="110" workbookViewId="0">
      <pane xSplit="1" ySplit="1" topLeftCell="B2" activePane="bottomRight" state="frozen"/>
      <selection pane="topRight"/>
      <selection pane="bottomLeft"/>
      <selection pane="bottomRight" activeCell="A1" sqref="A1"/>
    </sheetView>
  </sheetViews>
  <sheetFormatPr baseColWidth="8" defaultRowHeight="15"/>
  <cols>
    <col width="17" customWidth="1" min="1" max="1"/>
    <col width="17.3" customWidth="1" min="2" max="2"/>
    <col width="11.8" customWidth="1" min="3" max="3"/>
    <col width="40" customWidth="1" min="4" max="4"/>
    <col width="17.3" customWidth="1" min="5" max="5"/>
    <col width="17.3" customWidth="1" min="6" max="6"/>
    <col width="30" customWidth="1" min="7" max="7"/>
  </cols>
  <sheetData>
    <row r="1" ht="24" customHeight="1">
      <c r="A1" s="18" t="inlineStr">
        <is>
          <t>Animal_Key</t>
        </is>
      </c>
      <c r="B1" s="18" t="inlineStr">
        <is>
          <t>Submission_ID</t>
        </is>
      </c>
      <c r="C1" s="18" t="inlineStr">
        <is>
          <t>Photo_No</t>
        </is>
      </c>
      <c r="D1" s="18" t="inlineStr">
        <is>
          <t>Drive_Link</t>
        </is>
      </c>
      <c r="E1" s="18" t="inlineStr">
        <is>
          <t>Uploaded_Date</t>
        </is>
      </c>
      <c r="F1" s="16" t="inlineStr">
        <is>
          <t>Archived_Date</t>
        </is>
      </c>
      <c r="G1" s="16" t="inlineStr">
        <is>
          <t>Archive_Location</t>
        </is>
      </c>
    </row>
    <row r="2">
      <c r="A2" s="20" t="inlineStr">
        <is>
          <t>P004-01-J01</t>
        </is>
      </c>
      <c r="B2" s="20" t="inlineStr">
        <is>
          <t>P004-01</t>
        </is>
      </c>
      <c r="C2" s="17" t="n">
        <v>1</v>
      </c>
      <c r="D2" s="17" t="inlineStr">
        <is>
          <t>[Drive link]</t>
        </is>
      </c>
      <c r="E2" s="21" t="n">
        <v>46296</v>
      </c>
      <c r="F2" s="21" t="n"/>
      <c r="G2" s="17" t="inlineStr"/>
    </row>
    <row r="3">
      <c r="A3" s="20" t="inlineStr">
        <is>
          <t>P004-01-J01</t>
        </is>
      </c>
      <c r="B3" s="20" t="inlineStr">
        <is>
          <t>P004-01</t>
        </is>
      </c>
      <c r="C3" s="17" t="n">
        <v>2</v>
      </c>
      <c r="D3" s="17" t="inlineStr">
        <is>
          <t>[Drive link]</t>
        </is>
      </c>
      <c r="E3" s="21" t="n">
        <v>46296</v>
      </c>
      <c r="F3" s="21" t="n"/>
      <c r="G3" s="17" t="inlineStr"/>
    </row>
    <row r="4">
      <c r="A4" s="20" t="inlineStr">
        <is>
          <t>P004-01-J02</t>
        </is>
      </c>
      <c r="B4" s="20" t="inlineStr">
        <is>
          <t>P004-01</t>
        </is>
      </c>
      <c r="C4" s="17" t="n">
        <v>1</v>
      </c>
      <c r="D4" s="17" t="inlineStr">
        <is>
          <t>[Drive link]</t>
        </is>
      </c>
      <c r="E4" s="21" t="n">
        <v>46296</v>
      </c>
      <c r="F4" s="21" t="n"/>
      <c r="G4" s="17" t="inlineStr"/>
    </row>
    <row r="5">
      <c r="A5" s="20" t="inlineStr">
        <is>
          <t>P004-01-J03</t>
        </is>
      </c>
      <c r="B5" s="20" t="inlineStr">
        <is>
          <t>P004-01</t>
        </is>
      </c>
      <c r="C5" s="17" t="n">
        <v>1</v>
      </c>
      <c r="D5" s="17" t="inlineStr">
        <is>
          <t>[Drive link]</t>
        </is>
      </c>
      <c r="E5" s="21" t="n">
        <v>46296</v>
      </c>
      <c r="F5" s="21" t="n"/>
      <c r="G5" s="17" t="inlineStr"/>
    </row>
    <row r="6">
      <c r="A6" s="20" t="inlineStr">
        <is>
          <t>P004-01-J03</t>
        </is>
      </c>
      <c r="B6" s="20" t="inlineStr">
        <is>
          <t>P004-01</t>
        </is>
      </c>
      <c r="C6" s="17" t="n">
        <v>2</v>
      </c>
      <c r="D6" s="17" t="inlineStr">
        <is>
          <t>[Drive link]</t>
        </is>
      </c>
      <c r="E6" s="21" t="n">
        <v>46296</v>
      </c>
      <c r="F6" s="21" t="n"/>
      <c r="G6" s="17" t="inlineStr"/>
    </row>
    <row r="7">
      <c r="A7" s="20" t="inlineStr">
        <is>
          <t>P004-01-J03</t>
        </is>
      </c>
      <c r="B7" s="20" t="inlineStr">
        <is>
          <t>P004-01</t>
        </is>
      </c>
      <c r="C7" s="17" t="n">
        <v>3</v>
      </c>
      <c r="D7" s="17" t="inlineStr">
        <is>
          <t>[Drive link]</t>
        </is>
      </c>
      <c r="E7" s="21" t="n">
        <v>46296</v>
      </c>
      <c r="F7" s="21" t="n"/>
      <c r="G7" s="17" t="inlineStr"/>
    </row>
    <row r="8">
      <c r="A8" s="20" t="inlineStr">
        <is>
          <t>P004-01-J04</t>
        </is>
      </c>
      <c r="B8" s="20" t="inlineStr">
        <is>
          <t>P004-01</t>
        </is>
      </c>
      <c r="C8" s="17" t="n">
        <v>1</v>
      </c>
      <c r="D8" s="17" t="inlineStr">
        <is>
          <t>[Drive link]</t>
        </is>
      </c>
      <c r="E8" s="21" t="n">
        <v>46296</v>
      </c>
      <c r="F8" s="21" t="n"/>
      <c r="G8" s="17" t="inlineStr"/>
    </row>
    <row r="9">
      <c r="A9" s="20" t="inlineStr">
        <is>
          <t>P004-01-J05</t>
        </is>
      </c>
      <c r="B9" s="20" t="inlineStr">
        <is>
          <t>P004-01</t>
        </is>
      </c>
      <c r="C9" s="17" t="n">
        <v>1</v>
      </c>
      <c r="D9" s="17" t="inlineStr">
        <is>
          <t>[Drive link]</t>
        </is>
      </c>
      <c r="E9" s="21" t="n">
        <v>46296</v>
      </c>
      <c r="F9" s="21" t="n"/>
      <c r="G9" s="17" t="inlineStr"/>
    </row>
    <row r="10">
      <c r="A10" s="20" t="inlineStr">
        <is>
          <t>P004-01-J06</t>
        </is>
      </c>
      <c r="B10" s="20" t="inlineStr">
        <is>
          <t>P004-01</t>
        </is>
      </c>
      <c r="C10" s="17" t="n">
        <v>1</v>
      </c>
      <c r="D10" s="17" t="inlineStr">
        <is>
          <t>[Drive link]</t>
        </is>
      </c>
      <c r="E10" s="21" t="n">
        <v>46296</v>
      </c>
      <c r="F10" s="21" t="n"/>
      <c r="G10" s="17" t="inlineStr"/>
    </row>
    <row r="11">
      <c r="A11" s="20" t="inlineStr">
        <is>
          <t>P004-01-J06</t>
        </is>
      </c>
      <c r="B11" s="20" t="inlineStr">
        <is>
          <t>P004-01</t>
        </is>
      </c>
      <c r="C11" s="17" t="n">
        <v>2</v>
      </c>
      <c r="D11" s="17" t="inlineStr">
        <is>
          <t>[Drive link]</t>
        </is>
      </c>
      <c r="E11" s="21" t="n">
        <v>46296</v>
      </c>
      <c r="F11" s="21" t="n"/>
      <c r="G11" s="17" t="inlineStr"/>
    </row>
    <row r="12">
      <c r="A12" s="22" t="n"/>
      <c r="B12" s="22" t="n"/>
      <c r="E12" s="23" t="n"/>
      <c r="F12" s="23" t="n"/>
    </row>
    <row r="13">
      <c r="A13" s="22" t="n"/>
      <c r="B13" s="22" t="n"/>
      <c r="E13" s="23" t="n"/>
      <c r="F13" s="23" t="n"/>
    </row>
    <row r="14">
      <c r="A14" s="22" t="n"/>
      <c r="B14" s="22" t="n"/>
      <c r="E14" s="23" t="n"/>
      <c r="F14" s="23" t="n"/>
    </row>
    <row r="15">
      <c r="A15" s="22" t="n"/>
      <c r="B15" s="22" t="n"/>
      <c r="E15" s="23" t="n"/>
      <c r="F15" s="23" t="n"/>
    </row>
    <row r="16">
      <c r="A16" s="22" t="n"/>
      <c r="B16" s="22" t="n"/>
      <c r="E16" s="23" t="n"/>
      <c r="F16" s="23" t="n"/>
    </row>
    <row r="17">
      <c r="A17" s="22" t="n"/>
      <c r="B17" s="22" t="n"/>
      <c r="E17" s="23" t="n"/>
      <c r="F17" s="23" t="n"/>
    </row>
    <row r="18">
      <c r="A18" s="22" t="n"/>
      <c r="B18" s="22" t="n"/>
      <c r="E18" s="23" t="n"/>
      <c r="F18" s="23" t="n"/>
    </row>
    <row r="19">
      <c r="A19" s="22" t="n"/>
      <c r="B19" s="22" t="n"/>
      <c r="E19" s="23" t="n"/>
      <c r="F19" s="23" t="n"/>
    </row>
    <row r="20">
      <c r="A20" s="22" t="n"/>
      <c r="B20" s="22" t="n"/>
      <c r="E20" s="23" t="n"/>
      <c r="F20" s="23" t="n"/>
    </row>
    <row r="21">
      <c r="A21" s="22" t="n"/>
      <c r="B21" s="22" t="n"/>
      <c r="E21" s="23" t="n"/>
      <c r="F21" s="23" t="n"/>
    </row>
    <row r="22">
      <c r="A22" s="22" t="n"/>
      <c r="B22" s="22" t="n"/>
      <c r="E22" s="23" t="n"/>
      <c r="F22" s="23" t="n"/>
    </row>
    <row r="23">
      <c r="A23" s="22" t="n"/>
      <c r="B23" s="22" t="n"/>
      <c r="E23" s="23" t="n"/>
      <c r="F23" s="23" t="n"/>
    </row>
    <row r="24">
      <c r="A24" s="22" t="n"/>
      <c r="B24" s="22" t="n"/>
      <c r="E24" s="23" t="n"/>
      <c r="F24" s="23" t="n"/>
    </row>
    <row r="25">
      <c r="A25" s="22" t="n"/>
      <c r="B25" s="22" t="n"/>
      <c r="E25" s="23" t="n"/>
      <c r="F25" s="23" t="n"/>
    </row>
    <row r="26">
      <c r="A26" s="22" t="n"/>
      <c r="B26" s="22" t="n"/>
      <c r="E26" s="23" t="n"/>
      <c r="F26" s="23" t="n"/>
    </row>
    <row r="27">
      <c r="A27" s="22" t="n"/>
      <c r="B27" s="22" t="n"/>
      <c r="E27" s="23" t="n"/>
      <c r="F27" s="23" t="n"/>
    </row>
    <row r="28">
      <c r="A28" s="22" t="n"/>
      <c r="B28" s="22" t="n"/>
      <c r="E28" s="23" t="n"/>
      <c r="F28" s="23" t="n"/>
    </row>
    <row r="29">
      <c r="A29" s="22" t="n"/>
      <c r="B29" s="22" t="n"/>
      <c r="E29" s="23" t="n"/>
      <c r="F29" s="23" t="n"/>
    </row>
    <row r="30">
      <c r="A30" s="22" t="n"/>
      <c r="B30" s="22" t="n"/>
      <c r="E30" s="23" t="n"/>
      <c r="F30" s="23" t="n"/>
    </row>
    <row r="31">
      <c r="A31" s="22" t="n"/>
      <c r="B31" s="22" t="n"/>
      <c r="E31" s="23" t="n"/>
      <c r="F31" s="23" t="n"/>
    </row>
    <row r="32">
      <c r="A32" s="22" t="n"/>
      <c r="B32" s="22" t="n"/>
      <c r="E32" s="23" t="n"/>
      <c r="F32" s="23" t="n"/>
    </row>
    <row r="33">
      <c r="A33" s="22" t="n"/>
      <c r="B33" s="22" t="n"/>
      <c r="E33" s="23" t="n"/>
      <c r="F33" s="23" t="n"/>
    </row>
    <row r="34">
      <c r="A34" s="22" t="n"/>
      <c r="B34" s="22" t="n"/>
      <c r="E34" s="23" t="n"/>
      <c r="F34" s="23" t="n"/>
    </row>
    <row r="35">
      <c r="A35" s="22" t="n"/>
      <c r="B35" s="22" t="n"/>
      <c r="E35" s="23" t="n"/>
      <c r="F35" s="23" t="n"/>
    </row>
    <row r="36">
      <c r="A36" s="22" t="n"/>
      <c r="B36" s="22" t="n"/>
      <c r="E36" s="23" t="n"/>
      <c r="F36" s="23" t="n"/>
    </row>
    <row r="37">
      <c r="A37" s="22" t="n"/>
      <c r="B37" s="22" t="n"/>
      <c r="E37" s="23" t="n"/>
      <c r="F37" s="23" t="n"/>
    </row>
    <row r="38">
      <c r="A38" s="22" t="n"/>
      <c r="B38" s="22" t="n"/>
      <c r="E38" s="23" t="n"/>
      <c r="F38" s="23" t="n"/>
    </row>
    <row r="39">
      <c r="A39" s="22" t="n"/>
      <c r="B39" s="22" t="n"/>
      <c r="E39" s="23" t="n"/>
      <c r="F39" s="23" t="n"/>
    </row>
    <row r="40">
      <c r="A40" s="22" t="n"/>
      <c r="B40" s="22" t="n"/>
      <c r="E40" s="23" t="n"/>
      <c r="F40" s="23" t="n"/>
    </row>
    <row r="41">
      <c r="A41" s="22" t="n"/>
      <c r="B41" s="22" t="n"/>
      <c r="E41" s="23" t="n"/>
      <c r="F41" s="23" t="n"/>
    </row>
    <row r="42">
      <c r="A42" s="22" t="n"/>
      <c r="B42" s="22" t="n"/>
      <c r="E42" s="23" t="n"/>
      <c r="F42" s="23" t="n"/>
    </row>
    <row r="43">
      <c r="A43" s="22" t="n"/>
      <c r="B43" s="22" t="n"/>
      <c r="E43" s="23" t="n"/>
      <c r="F43" s="23" t="n"/>
    </row>
    <row r="44">
      <c r="A44" s="22" t="n"/>
      <c r="B44" s="22" t="n"/>
      <c r="E44" s="23" t="n"/>
      <c r="F44" s="23" t="n"/>
    </row>
    <row r="45">
      <c r="A45" s="22" t="n"/>
      <c r="B45" s="22" t="n"/>
      <c r="E45" s="23" t="n"/>
      <c r="F45" s="23" t="n"/>
    </row>
    <row r="46">
      <c r="A46" s="22" t="n"/>
      <c r="B46" s="22" t="n"/>
      <c r="E46" s="23" t="n"/>
      <c r="F46" s="23" t="n"/>
    </row>
    <row r="47">
      <c r="A47" s="22" t="n"/>
      <c r="B47" s="22" t="n"/>
      <c r="E47" s="23" t="n"/>
      <c r="F47" s="23" t="n"/>
    </row>
    <row r="48">
      <c r="A48" s="22" t="n"/>
      <c r="B48" s="22" t="n"/>
      <c r="E48" s="23" t="n"/>
      <c r="F48" s="23" t="n"/>
    </row>
    <row r="49">
      <c r="A49" s="22" t="n"/>
      <c r="B49" s="22" t="n"/>
      <c r="E49" s="23" t="n"/>
      <c r="F49" s="23" t="n"/>
    </row>
    <row r="50">
      <c r="A50" s="22" t="n"/>
      <c r="B50" s="22" t="n"/>
      <c r="E50" s="23" t="n"/>
      <c r="F50" s="23" t="n"/>
    </row>
    <row r="51">
      <c r="A51" s="22" t="n"/>
      <c r="B51" s="22" t="n"/>
      <c r="E51" s="23" t="n"/>
      <c r="F51" s="23" t="n"/>
    </row>
    <row r="52">
      <c r="A52" s="22" t="n"/>
      <c r="B52" s="22" t="n"/>
      <c r="E52" s="23" t="n"/>
      <c r="F52" s="23" t="n"/>
    </row>
    <row r="53">
      <c r="A53" s="22" t="n"/>
      <c r="B53" s="22" t="n"/>
      <c r="E53" s="23" t="n"/>
      <c r="F53" s="23" t="n"/>
    </row>
    <row r="54">
      <c r="A54" s="22" t="n"/>
      <c r="B54" s="22" t="n"/>
      <c r="E54" s="23" t="n"/>
      <c r="F54" s="23" t="n"/>
    </row>
    <row r="55">
      <c r="A55" s="22" t="n"/>
      <c r="B55" s="22" t="n"/>
      <c r="E55" s="23" t="n"/>
      <c r="F55" s="23" t="n"/>
    </row>
    <row r="56">
      <c r="A56" s="22" t="n"/>
      <c r="B56" s="22" t="n"/>
      <c r="E56" s="23" t="n"/>
      <c r="F56" s="23" t="n"/>
    </row>
    <row r="57">
      <c r="A57" s="22" t="n"/>
      <c r="B57" s="22" t="n"/>
      <c r="E57" s="23" t="n"/>
      <c r="F57" s="23" t="n"/>
    </row>
    <row r="58">
      <c r="A58" s="22" t="n"/>
      <c r="B58" s="22" t="n"/>
      <c r="E58" s="23" t="n"/>
      <c r="F58" s="23" t="n"/>
    </row>
    <row r="59">
      <c r="A59" s="22" t="n"/>
      <c r="B59" s="22" t="n"/>
      <c r="E59" s="23" t="n"/>
      <c r="F59" s="23" t="n"/>
    </row>
    <row r="60">
      <c r="A60" s="22" t="n"/>
      <c r="B60" s="22" t="n"/>
      <c r="E60" s="23" t="n"/>
      <c r="F60" s="23" t="n"/>
    </row>
    <row r="61">
      <c r="A61" s="22" t="n"/>
      <c r="B61" s="22" t="n"/>
      <c r="E61" s="23" t="n"/>
      <c r="F61" s="23" t="n"/>
    </row>
    <row r="62">
      <c r="A62" s="22" t="n"/>
      <c r="B62" s="22" t="n"/>
      <c r="E62" s="23" t="n"/>
      <c r="F62" s="23" t="n"/>
    </row>
    <row r="63">
      <c r="A63" s="22" t="n"/>
      <c r="B63" s="22" t="n"/>
      <c r="E63" s="23" t="n"/>
      <c r="F63" s="23" t="n"/>
    </row>
    <row r="64">
      <c r="A64" s="22" t="n"/>
      <c r="B64" s="22" t="n"/>
      <c r="E64" s="23" t="n"/>
      <c r="F64" s="23" t="n"/>
    </row>
    <row r="65">
      <c r="A65" s="22" t="n"/>
      <c r="B65" s="22" t="n"/>
      <c r="E65" s="23" t="n"/>
      <c r="F65" s="23" t="n"/>
    </row>
    <row r="66">
      <c r="A66" s="22" t="n"/>
      <c r="B66" s="22" t="n"/>
      <c r="E66" s="23" t="n"/>
      <c r="F66" s="23" t="n"/>
    </row>
    <row r="67">
      <c r="A67" s="22" t="n"/>
      <c r="B67" s="22" t="n"/>
      <c r="E67" s="23" t="n"/>
      <c r="F67" s="23" t="n"/>
    </row>
    <row r="68">
      <c r="A68" s="22" t="n"/>
      <c r="B68" s="22" t="n"/>
      <c r="E68" s="23" t="n"/>
      <c r="F68" s="23" t="n"/>
    </row>
    <row r="69">
      <c r="A69" s="22" t="n"/>
      <c r="B69" s="22" t="n"/>
      <c r="E69" s="23" t="n"/>
      <c r="F69" s="23" t="n"/>
    </row>
    <row r="70">
      <c r="A70" s="22" t="n"/>
      <c r="B70" s="22" t="n"/>
      <c r="E70" s="23" t="n"/>
      <c r="F70" s="23" t="n"/>
    </row>
    <row r="71">
      <c r="A71" s="22" t="n"/>
      <c r="B71" s="22" t="n"/>
      <c r="E71" s="23" t="n"/>
      <c r="F71" s="23" t="n"/>
    </row>
    <row r="72">
      <c r="A72" s="22" t="n"/>
      <c r="B72" s="22" t="n"/>
      <c r="E72" s="23" t="n"/>
      <c r="F72" s="23" t="n"/>
    </row>
    <row r="73">
      <c r="A73" s="22" t="n"/>
      <c r="B73" s="22" t="n"/>
      <c r="E73" s="23" t="n"/>
      <c r="F73" s="23" t="n"/>
    </row>
    <row r="74">
      <c r="A74" s="22" t="n"/>
      <c r="B74" s="22" t="n"/>
      <c r="E74" s="23" t="n"/>
      <c r="F74" s="23" t="n"/>
    </row>
    <row r="75">
      <c r="A75" s="22" t="n"/>
      <c r="B75" s="22" t="n"/>
      <c r="E75" s="23" t="n"/>
      <c r="F75" s="23" t="n"/>
    </row>
    <row r="76">
      <c r="A76" s="22" t="n"/>
      <c r="B76" s="22" t="n"/>
      <c r="E76" s="23" t="n"/>
      <c r="F76" s="23" t="n"/>
    </row>
    <row r="77">
      <c r="A77" s="22" t="n"/>
      <c r="B77" s="22" t="n"/>
      <c r="E77" s="23" t="n"/>
      <c r="F77" s="23" t="n"/>
    </row>
    <row r="78">
      <c r="A78" s="22" t="n"/>
      <c r="B78" s="22" t="n"/>
      <c r="E78" s="23" t="n"/>
      <c r="F78" s="23" t="n"/>
    </row>
    <row r="79">
      <c r="A79" s="22" t="n"/>
      <c r="B79" s="22" t="n"/>
      <c r="E79" s="23" t="n"/>
      <c r="F79" s="23" t="n"/>
    </row>
    <row r="80">
      <c r="A80" s="22" t="n"/>
      <c r="B80" s="22" t="n"/>
      <c r="E80" s="23" t="n"/>
      <c r="F80" s="23" t="n"/>
    </row>
    <row r="81">
      <c r="A81" s="22" t="n"/>
      <c r="B81" s="22" t="n"/>
      <c r="E81" s="23" t="n"/>
      <c r="F81" s="23" t="n"/>
    </row>
    <row r="82">
      <c r="A82" s="22" t="n"/>
      <c r="B82" s="22" t="n"/>
      <c r="E82" s="23" t="n"/>
      <c r="F82" s="23" t="n"/>
    </row>
    <row r="83">
      <c r="A83" s="22" t="n"/>
      <c r="B83" s="22" t="n"/>
      <c r="E83" s="23" t="n"/>
      <c r="F83" s="23" t="n"/>
    </row>
    <row r="84">
      <c r="A84" s="22" t="n"/>
      <c r="B84" s="22" t="n"/>
      <c r="E84" s="23" t="n"/>
      <c r="F84" s="23" t="n"/>
    </row>
    <row r="85">
      <c r="A85" s="22" t="n"/>
      <c r="B85" s="22" t="n"/>
      <c r="E85" s="23" t="n"/>
      <c r="F85" s="23" t="n"/>
    </row>
    <row r="86">
      <c r="A86" s="22" t="n"/>
      <c r="B86" s="22" t="n"/>
      <c r="E86" s="23" t="n"/>
      <c r="F86" s="23" t="n"/>
    </row>
    <row r="87">
      <c r="A87" s="22" t="n"/>
      <c r="B87" s="22" t="n"/>
      <c r="E87" s="23" t="n"/>
      <c r="F87" s="23" t="n"/>
    </row>
    <row r="88">
      <c r="A88" s="22" t="n"/>
      <c r="B88" s="22" t="n"/>
      <c r="E88" s="23" t="n"/>
      <c r="F88" s="23" t="n"/>
    </row>
    <row r="89">
      <c r="A89" s="22" t="n"/>
      <c r="B89" s="22" t="n"/>
      <c r="E89" s="23" t="n"/>
      <c r="F89" s="23" t="n"/>
    </row>
    <row r="90">
      <c r="A90" s="22" t="n"/>
      <c r="B90" s="22" t="n"/>
      <c r="E90" s="23" t="n"/>
      <c r="F90" s="23" t="n"/>
    </row>
    <row r="91">
      <c r="A91" s="22" t="n"/>
      <c r="B91" s="22" t="n"/>
      <c r="E91" s="23" t="n"/>
      <c r="F91" s="23" t="n"/>
    </row>
    <row r="92">
      <c r="A92" s="22" t="n"/>
      <c r="B92" s="22" t="n"/>
      <c r="E92" s="23" t="n"/>
      <c r="F92" s="23" t="n"/>
    </row>
    <row r="93">
      <c r="A93" s="22" t="n"/>
      <c r="B93" s="22" t="n"/>
      <c r="E93" s="23" t="n"/>
      <c r="F93" s="23" t="n"/>
    </row>
    <row r="94">
      <c r="A94" s="22" t="n"/>
      <c r="B94" s="22" t="n"/>
      <c r="E94" s="23" t="n"/>
      <c r="F94" s="23" t="n"/>
    </row>
    <row r="95">
      <c r="A95" s="22" t="n"/>
      <c r="B95" s="22" t="n"/>
      <c r="E95" s="23" t="n"/>
      <c r="F95" s="23" t="n"/>
    </row>
    <row r="96">
      <c r="A96" s="22" t="n"/>
      <c r="B96" s="22" t="n"/>
      <c r="E96" s="23" t="n"/>
      <c r="F96" s="23" t="n"/>
    </row>
    <row r="97">
      <c r="A97" s="22" t="n"/>
      <c r="B97" s="22" t="n"/>
      <c r="E97" s="23" t="n"/>
      <c r="F97" s="23" t="n"/>
    </row>
    <row r="98">
      <c r="A98" s="22" t="n"/>
      <c r="B98" s="22" t="n"/>
      <c r="E98" s="23" t="n"/>
      <c r="F98" s="23" t="n"/>
    </row>
    <row r="99">
      <c r="A99" s="22" t="n"/>
      <c r="B99" s="22" t="n"/>
      <c r="E99" s="23" t="n"/>
      <c r="F99" s="23" t="n"/>
    </row>
    <row r="100">
      <c r="A100" s="22" t="n"/>
      <c r="B100" s="22" t="n"/>
      <c r="E100" s="23" t="n"/>
      <c r="F100" s="23" t="n"/>
    </row>
    <row r="101">
      <c r="A101" s="22" t="n"/>
      <c r="B101" s="22" t="n"/>
      <c r="E101" s="23" t="n"/>
      <c r="F101" s="23" t="n"/>
    </row>
    <row r="102">
      <c r="A102" s="22" t="n"/>
      <c r="B102" s="22" t="n"/>
      <c r="E102" s="23" t="n"/>
      <c r="F102" s="23" t="n"/>
    </row>
    <row r="103">
      <c r="A103" s="22" t="n"/>
      <c r="B103" s="22" t="n"/>
      <c r="E103" s="23" t="n"/>
      <c r="F103" s="23" t="n"/>
    </row>
    <row r="104">
      <c r="A104" s="22" t="n"/>
      <c r="B104" s="22" t="n"/>
      <c r="E104" s="23" t="n"/>
      <c r="F104" s="23" t="n"/>
    </row>
    <row r="105">
      <c r="A105" s="22" t="n"/>
      <c r="B105" s="22" t="n"/>
      <c r="E105" s="23" t="n"/>
      <c r="F105" s="23" t="n"/>
    </row>
    <row r="106">
      <c r="A106" s="22" t="n"/>
      <c r="B106" s="22" t="n"/>
      <c r="E106" s="23" t="n"/>
      <c r="F106" s="23" t="n"/>
    </row>
    <row r="107">
      <c r="A107" s="22" t="n"/>
      <c r="B107" s="22" t="n"/>
      <c r="E107" s="23" t="n"/>
      <c r="F107" s="23" t="n"/>
    </row>
    <row r="108">
      <c r="A108" s="22" t="n"/>
      <c r="B108" s="22" t="n"/>
      <c r="E108" s="23" t="n"/>
      <c r="F108" s="23" t="n"/>
    </row>
    <row r="109">
      <c r="A109" s="22" t="n"/>
      <c r="B109" s="22" t="n"/>
      <c r="E109" s="23" t="n"/>
      <c r="F109" s="23" t="n"/>
    </row>
    <row r="110">
      <c r="A110" s="22" t="n"/>
      <c r="B110" s="22" t="n"/>
      <c r="E110" s="23" t="n"/>
      <c r="F110" s="23" t="n"/>
    </row>
    <row r="111">
      <c r="A111" s="22" t="n"/>
      <c r="B111" s="22" t="n"/>
      <c r="E111" s="23" t="n"/>
      <c r="F111" s="23" t="n"/>
    </row>
    <row r="112">
      <c r="A112" s="22" t="n"/>
      <c r="B112" s="22" t="n"/>
      <c r="E112" s="23" t="n"/>
      <c r="F112" s="23" t="n"/>
    </row>
    <row r="113">
      <c r="A113" s="22" t="n"/>
      <c r="B113" s="22" t="n"/>
      <c r="E113" s="23" t="n"/>
      <c r="F113" s="23" t="n"/>
    </row>
    <row r="114">
      <c r="A114" s="22" t="n"/>
      <c r="B114" s="22" t="n"/>
      <c r="E114" s="23" t="n"/>
      <c r="F114" s="23" t="n"/>
    </row>
    <row r="115">
      <c r="A115" s="22" t="n"/>
      <c r="B115" s="22" t="n"/>
      <c r="E115" s="23" t="n"/>
      <c r="F115" s="23" t="n"/>
    </row>
    <row r="116">
      <c r="A116" s="22" t="n"/>
      <c r="B116" s="22" t="n"/>
      <c r="E116" s="23" t="n"/>
      <c r="F116" s="23" t="n"/>
    </row>
    <row r="117">
      <c r="A117" s="22" t="n"/>
      <c r="B117" s="22" t="n"/>
      <c r="E117" s="23" t="n"/>
      <c r="F117" s="23" t="n"/>
    </row>
    <row r="118">
      <c r="A118" s="22" t="n"/>
      <c r="B118" s="22" t="n"/>
      <c r="E118" s="23" t="n"/>
      <c r="F118" s="23" t="n"/>
    </row>
    <row r="119">
      <c r="A119" s="22" t="n"/>
      <c r="B119" s="22" t="n"/>
      <c r="E119" s="23" t="n"/>
      <c r="F119" s="23" t="n"/>
    </row>
    <row r="120">
      <c r="A120" s="22" t="n"/>
      <c r="B120" s="22" t="n"/>
      <c r="E120" s="23" t="n"/>
      <c r="F120" s="23" t="n"/>
    </row>
    <row r="121">
      <c r="A121" s="22" t="n"/>
      <c r="B121" s="22" t="n"/>
      <c r="E121" s="23" t="n"/>
      <c r="F121" s="23" t="n"/>
    </row>
    <row r="122">
      <c r="A122" s="22" t="n"/>
      <c r="B122" s="22" t="n"/>
      <c r="E122" s="23" t="n"/>
      <c r="F122" s="23" t="n"/>
    </row>
    <row r="123">
      <c r="A123" s="22" t="n"/>
      <c r="B123" s="22" t="n"/>
      <c r="E123" s="23" t="n"/>
      <c r="F123" s="23" t="n"/>
    </row>
    <row r="124">
      <c r="A124" s="22" t="n"/>
      <c r="B124" s="22" t="n"/>
      <c r="E124" s="23" t="n"/>
      <c r="F124" s="23" t="n"/>
    </row>
    <row r="125">
      <c r="A125" s="22" t="n"/>
      <c r="B125" s="22" t="n"/>
      <c r="E125" s="23" t="n"/>
      <c r="F125" s="23" t="n"/>
    </row>
    <row r="126">
      <c r="A126" s="22" t="n"/>
      <c r="B126" s="22" t="n"/>
      <c r="E126" s="23" t="n"/>
      <c r="F126" s="23" t="n"/>
    </row>
    <row r="127">
      <c r="A127" s="22" t="n"/>
      <c r="B127" s="22" t="n"/>
      <c r="E127" s="23" t="n"/>
      <c r="F127" s="23" t="n"/>
    </row>
    <row r="128">
      <c r="A128" s="22" t="n"/>
      <c r="B128" s="22" t="n"/>
      <c r="E128" s="23" t="n"/>
      <c r="F128" s="23" t="n"/>
    </row>
    <row r="129">
      <c r="A129" s="22" t="n"/>
      <c r="B129" s="22" t="n"/>
      <c r="E129" s="23" t="n"/>
      <c r="F129" s="23" t="n"/>
    </row>
    <row r="130">
      <c r="A130" s="22" t="n"/>
      <c r="B130" s="22" t="n"/>
      <c r="E130" s="23" t="n"/>
      <c r="F130" s="23" t="n"/>
    </row>
    <row r="131">
      <c r="A131" s="22" t="n"/>
      <c r="B131" s="22" t="n"/>
      <c r="E131" s="23" t="n"/>
      <c r="F131" s="23" t="n"/>
    </row>
    <row r="132">
      <c r="A132" s="22" t="n"/>
      <c r="B132" s="22" t="n"/>
      <c r="E132" s="23" t="n"/>
      <c r="F132" s="23" t="n"/>
    </row>
    <row r="133">
      <c r="A133" s="22" t="n"/>
      <c r="B133" s="22" t="n"/>
      <c r="E133" s="23" t="n"/>
      <c r="F133" s="23" t="n"/>
    </row>
    <row r="134">
      <c r="A134" s="22" t="n"/>
      <c r="B134" s="22" t="n"/>
      <c r="E134" s="23" t="n"/>
      <c r="F134" s="23" t="n"/>
    </row>
    <row r="135">
      <c r="A135" s="22" t="n"/>
      <c r="B135" s="22" t="n"/>
      <c r="E135" s="23" t="n"/>
      <c r="F135" s="23" t="n"/>
    </row>
    <row r="136">
      <c r="A136" s="22" t="n"/>
      <c r="B136" s="22" t="n"/>
      <c r="E136" s="23" t="n"/>
      <c r="F136" s="23" t="n"/>
    </row>
    <row r="137">
      <c r="A137" s="22" t="n"/>
      <c r="B137" s="22" t="n"/>
      <c r="E137" s="23" t="n"/>
      <c r="F137" s="23" t="n"/>
    </row>
    <row r="138">
      <c r="A138" s="22" t="n"/>
      <c r="B138" s="22" t="n"/>
      <c r="E138" s="23" t="n"/>
      <c r="F138" s="23" t="n"/>
    </row>
    <row r="139">
      <c r="A139" s="22" t="n"/>
      <c r="B139" s="22" t="n"/>
      <c r="E139" s="23" t="n"/>
      <c r="F139" s="23" t="n"/>
    </row>
    <row r="140">
      <c r="A140" s="22" t="n"/>
      <c r="B140" s="22" t="n"/>
      <c r="E140" s="23" t="n"/>
      <c r="F140" s="23" t="n"/>
    </row>
    <row r="141">
      <c r="A141" s="22" t="n"/>
      <c r="B141" s="22" t="n"/>
      <c r="E141" s="23" t="n"/>
      <c r="F141" s="23" t="n"/>
    </row>
    <row r="142">
      <c r="A142" s="22" t="n"/>
      <c r="B142" s="22" t="n"/>
      <c r="E142" s="23" t="n"/>
      <c r="F142" s="23" t="n"/>
    </row>
    <row r="143">
      <c r="A143" s="22" t="n"/>
      <c r="B143" s="22" t="n"/>
      <c r="E143" s="23" t="n"/>
      <c r="F143" s="23" t="n"/>
    </row>
    <row r="144">
      <c r="A144" s="22" t="n"/>
      <c r="B144" s="22" t="n"/>
      <c r="E144" s="23" t="n"/>
      <c r="F144" s="23" t="n"/>
    </row>
    <row r="145">
      <c r="A145" s="22" t="n"/>
      <c r="B145" s="22" t="n"/>
      <c r="E145" s="23" t="n"/>
      <c r="F145" s="23" t="n"/>
    </row>
    <row r="146">
      <c r="A146" s="22" t="n"/>
      <c r="B146" s="22" t="n"/>
      <c r="E146" s="23" t="n"/>
      <c r="F146" s="23" t="n"/>
    </row>
    <row r="147">
      <c r="A147" s="22" t="n"/>
      <c r="B147" s="22" t="n"/>
      <c r="E147" s="23" t="n"/>
      <c r="F147" s="23" t="n"/>
    </row>
    <row r="148">
      <c r="A148" s="22" t="n"/>
      <c r="B148" s="22" t="n"/>
      <c r="E148" s="23" t="n"/>
      <c r="F148" s="23" t="n"/>
    </row>
    <row r="149">
      <c r="A149" s="22" t="n"/>
      <c r="B149" s="22" t="n"/>
      <c r="E149" s="23" t="n"/>
      <c r="F149" s="23" t="n"/>
    </row>
    <row r="150">
      <c r="A150" s="22" t="n"/>
      <c r="B150" s="22" t="n"/>
      <c r="E150" s="23" t="n"/>
      <c r="F150" s="23" t="n"/>
    </row>
    <row r="151">
      <c r="A151" s="22" t="n"/>
      <c r="B151" s="22" t="n"/>
      <c r="E151" s="23" t="n"/>
      <c r="F151" s="23" t="n"/>
    </row>
    <row r="152">
      <c r="A152" s="22" t="n"/>
      <c r="B152" s="22" t="n"/>
      <c r="E152" s="23" t="n"/>
      <c r="F152" s="23" t="n"/>
    </row>
    <row r="153">
      <c r="A153" s="22" t="n"/>
      <c r="B153" s="22" t="n"/>
      <c r="E153" s="23" t="n"/>
      <c r="F153" s="23" t="n"/>
    </row>
    <row r="154">
      <c r="A154" s="22" t="n"/>
      <c r="B154" s="22" t="n"/>
      <c r="E154" s="23" t="n"/>
      <c r="F154" s="23" t="n"/>
    </row>
    <row r="155">
      <c r="A155" s="22" t="n"/>
      <c r="B155" s="22" t="n"/>
      <c r="E155" s="23" t="n"/>
      <c r="F155" s="23" t="n"/>
    </row>
    <row r="156">
      <c r="A156" s="22" t="n"/>
      <c r="B156" s="22" t="n"/>
      <c r="E156" s="23" t="n"/>
      <c r="F156" s="23" t="n"/>
    </row>
    <row r="157">
      <c r="A157" s="22" t="n"/>
      <c r="B157" s="22" t="n"/>
      <c r="E157" s="23" t="n"/>
      <c r="F157" s="23" t="n"/>
    </row>
    <row r="158">
      <c r="A158" s="22" t="n"/>
      <c r="B158" s="22" t="n"/>
      <c r="E158" s="23" t="n"/>
      <c r="F158" s="23" t="n"/>
    </row>
    <row r="159">
      <c r="A159" s="22" t="n"/>
      <c r="B159" s="22" t="n"/>
      <c r="E159" s="23" t="n"/>
      <c r="F159" s="23" t="n"/>
    </row>
    <row r="160">
      <c r="A160" s="22" t="n"/>
      <c r="B160" s="22" t="n"/>
      <c r="E160" s="23" t="n"/>
      <c r="F160" s="23" t="n"/>
    </row>
    <row r="161">
      <c r="A161" s="22" t="n"/>
      <c r="B161" s="22" t="n"/>
      <c r="E161" s="23" t="n"/>
      <c r="F161" s="23" t="n"/>
    </row>
    <row r="162">
      <c r="A162" s="22" t="n"/>
      <c r="B162" s="22" t="n"/>
      <c r="E162" s="23" t="n"/>
      <c r="F162" s="23" t="n"/>
    </row>
    <row r="163">
      <c r="A163" s="22" t="n"/>
      <c r="B163" s="22" t="n"/>
      <c r="E163" s="23" t="n"/>
      <c r="F163" s="23" t="n"/>
    </row>
    <row r="164">
      <c r="A164" s="22" t="n"/>
      <c r="B164" s="22" t="n"/>
      <c r="E164" s="23" t="n"/>
      <c r="F164" s="23" t="n"/>
    </row>
    <row r="165">
      <c r="A165" s="22" t="n"/>
      <c r="B165" s="22" t="n"/>
      <c r="E165" s="23" t="n"/>
      <c r="F165" s="23" t="n"/>
    </row>
    <row r="166">
      <c r="A166" s="22" t="n"/>
      <c r="B166" s="22" t="n"/>
      <c r="E166" s="23" t="n"/>
      <c r="F166" s="23" t="n"/>
    </row>
    <row r="167">
      <c r="A167" s="22" t="n"/>
      <c r="B167" s="22" t="n"/>
      <c r="E167" s="23" t="n"/>
      <c r="F167" s="23" t="n"/>
    </row>
    <row r="168">
      <c r="A168" s="22" t="n"/>
      <c r="B168" s="22" t="n"/>
      <c r="E168" s="23" t="n"/>
      <c r="F168" s="23" t="n"/>
    </row>
    <row r="169">
      <c r="A169" s="22" t="n"/>
      <c r="B169" s="22" t="n"/>
      <c r="E169" s="23" t="n"/>
      <c r="F169" s="23" t="n"/>
    </row>
    <row r="170">
      <c r="A170" s="22" t="n"/>
      <c r="B170" s="22" t="n"/>
      <c r="E170" s="23" t="n"/>
      <c r="F170" s="23" t="n"/>
    </row>
    <row r="171">
      <c r="A171" s="22" t="n"/>
      <c r="B171" s="22" t="n"/>
      <c r="E171" s="23" t="n"/>
      <c r="F171" s="23" t="n"/>
    </row>
    <row r="172">
      <c r="A172" s="22" t="n"/>
      <c r="B172" s="22" t="n"/>
      <c r="E172" s="23" t="n"/>
      <c r="F172" s="23" t="n"/>
    </row>
    <row r="173">
      <c r="A173" s="22" t="n"/>
      <c r="B173" s="22" t="n"/>
      <c r="E173" s="23" t="n"/>
      <c r="F173" s="23" t="n"/>
    </row>
    <row r="174">
      <c r="A174" s="22" t="n"/>
      <c r="B174" s="22" t="n"/>
      <c r="E174" s="23" t="n"/>
      <c r="F174" s="23" t="n"/>
    </row>
    <row r="175">
      <c r="A175" s="22" t="n"/>
      <c r="B175" s="22" t="n"/>
      <c r="E175" s="23" t="n"/>
      <c r="F175" s="23" t="n"/>
    </row>
    <row r="176">
      <c r="A176" s="22" t="n"/>
      <c r="B176" s="22" t="n"/>
      <c r="E176" s="23" t="n"/>
      <c r="F176" s="23" t="n"/>
    </row>
    <row r="177">
      <c r="A177" s="22" t="n"/>
      <c r="B177" s="22" t="n"/>
      <c r="E177" s="23" t="n"/>
      <c r="F177" s="23" t="n"/>
    </row>
    <row r="178">
      <c r="A178" s="22" t="n"/>
      <c r="B178" s="22" t="n"/>
      <c r="E178" s="23" t="n"/>
      <c r="F178" s="23" t="n"/>
    </row>
    <row r="179">
      <c r="A179" s="22" t="n"/>
      <c r="B179" s="22" t="n"/>
      <c r="E179" s="23" t="n"/>
      <c r="F179" s="23" t="n"/>
    </row>
    <row r="180">
      <c r="A180" s="22" t="n"/>
      <c r="B180" s="22" t="n"/>
      <c r="E180" s="23" t="n"/>
      <c r="F180" s="23" t="n"/>
    </row>
    <row r="181">
      <c r="A181" s="22" t="n"/>
      <c r="B181" s="22" t="n"/>
      <c r="E181" s="23" t="n"/>
      <c r="F181" s="23" t="n"/>
    </row>
    <row r="182">
      <c r="A182" s="22" t="n"/>
      <c r="B182" s="22" t="n"/>
      <c r="E182" s="23" t="n"/>
      <c r="F182" s="23" t="n"/>
    </row>
    <row r="183">
      <c r="A183" s="22" t="n"/>
      <c r="B183" s="22" t="n"/>
      <c r="E183" s="23" t="n"/>
      <c r="F183" s="23" t="n"/>
    </row>
    <row r="184">
      <c r="A184" s="22" t="n"/>
      <c r="B184" s="22" t="n"/>
      <c r="E184" s="23" t="n"/>
      <c r="F184" s="23" t="n"/>
    </row>
    <row r="185">
      <c r="A185" s="22" t="n"/>
      <c r="B185" s="22" t="n"/>
      <c r="E185" s="23" t="n"/>
      <c r="F185" s="23" t="n"/>
    </row>
    <row r="186">
      <c r="A186" s="22" t="n"/>
      <c r="B186" s="22" t="n"/>
      <c r="E186" s="23" t="n"/>
      <c r="F186" s="23" t="n"/>
    </row>
    <row r="187">
      <c r="A187" s="22" t="n"/>
      <c r="B187" s="22" t="n"/>
      <c r="E187" s="23" t="n"/>
      <c r="F187" s="23" t="n"/>
    </row>
    <row r="188">
      <c r="A188" s="22" t="n"/>
      <c r="B188" s="22" t="n"/>
      <c r="E188" s="23" t="n"/>
      <c r="F188" s="23" t="n"/>
    </row>
    <row r="189">
      <c r="A189" s="22" t="n"/>
      <c r="B189" s="22" t="n"/>
      <c r="E189" s="23" t="n"/>
      <c r="F189" s="23" t="n"/>
    </row>
    <row r="190">
      <c r="A190" s="22" t="n"/>
      <c r="B190" s="22" t="n"/>
      <c r="E190" s="23" t="n"/>
      <c r="F190" s="23" t="n"/>
    </row>
    <row r="191">
      <c r="A191" s="22" t="n"/>
      <c r="B191" s="22" t="n"/>
      <c r="E191" s="23" t="n"/>
      <c r="F191" s="23" t="n"/>
    </row>
    <row r="192">
      <c r="A192" s="22" t="n"/>
      <c r="B192" s="22" t="n"/>
      <c r="E192" s="23" t="n"/>
      <c r="F192" s="23" t="n"/>
    </row>
    <row r="193">
      <c r="A193" s="22" t="n"/>
      <c r="B193" s="22" t="n"/>
      <c r="E193" s="23" t="n"/>
      <c r="F193" s="23" t="n"/>
    </row>
    <row r="194">
      <c r="A194" s="22" t="n"/>
      <c r="B194" s="22" t="n"/>
      <c r="E194" s="23" t="n"/>
      <c r="F194" s="23" t="n"/>
    </row>
    <row r="195">
      <c r="A195" s="22" t="n"/>
      <c r="B195" s="22" t="n"/>
      <c r="E195" s="23" t="n"/>
      <c r="F195" s="23" t="n"/>
    </row>
    <row r="196">
      <c r="A196" s="22" t="n"/>
      <c r="B196" s="22" t="n"/>
      <c r="E196" s="23" t="n"/>
      <c r="F196" s="23" t="n"/>
    </row>
    <row r="197">
      <c r="A197" s="22" t="n"/>
      <c r="B197" s="22" t="n"/>
      <c r="E197" s="23" t="n"/>
      <c r="F197" s="23" t="n"/>
    </row>
    <row r="198">
      <c r="A198" s="22" t="n"/>
      <c r="B198" s="22" t="n"/>
      <c r="E198" s="23" t="n"/>
      <c r="F198" s="23" t="n"/>
    </row>
    <row r="199">
      <c r="A199" s="22" t="n"/>
      <c r="B199" s="22" t="n"/>
      <c r="E199" s="23" t="n"/>
      <c r="F199" s="23"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99"/>
  <sheetViews>
    <sheetView zoomScale="110"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3" customWidth="1" min="3" max="3"/>
    <col width="16.2" customWidth="1" min="4" max="4"/>
    <col width="14" customWidth="1" min="5" max="5"/>
    <col width="16.2" customWidth="1" min="6" max="6"/>
    <col width="10.7" customWidth="1" min="7" max="7"/>
    <col width="26.1" customWidth="1" min="8" max="8"/>
    <col width="30" customWidth="1" min="9" max="9"/>
    <col width="40" customWidth="1" min="10" max="10"/>
  </cols>
  <sheetData>
    <row r="1" ht="24" customHeight="1">
      <c r="A1" s="16" t="inlineStr">
        <is>
          <t>Batch_ID</t>
        </is>
      </c>
      <c r="B1" s="16" t="inlineStr">
        <is>
          <t>Lab</t>
        </is>
      </c>
      <c r="C1" s="16" t="inlineStr">
        <is>
          <t>Status</t>
        </is>
      </c>
      <c r="D1" s="16" t="inlineStr">
        <is>
          <t>Created_Date</t>
        </is>
      </c>
      <c r="E1" s="16" t="inlineStr">
        <is>
          <t>Created_By</t>
        </is>
      </c>
      <c r="F1" s="16" t="inlineStr">
        <is>
          <t>Shipped_Date</t>
        </is>
      </c>
      <c r="G1" s="19" t="inlineStr">
        <is>
          <t>Samples</t>
        </is>
      </c>
      <c r="H1" s="16" t="inlineStr">
        <is>
          <t>Results_Received_Date</t>
        </is>
      </c>
      <c r="I1" s="16" t="inlineStr">
        <is>
          <t>Export_File</t>
        </is>
      </c>
      <c r="J1" s="16" t="inlineStr">
        <is>
          <t>Notes</t>
        </is>
      </c>
    </row>
    <row r="2">
      <c r="A2" s="20" t="inlineStr">
        <is>
          <t>B2026-01</t>
        </is>
      </c>
      <c r="B2" s="17" t="inlineStr">
        <is>
          <t>GenomNZ</t>
        </is>
      </c>
      <c r="C2" s="17" t="inlineStr">
        <is>
          <t>Results in</t>
        </is>
      </c>
      <c r="D2" s="21" t="n">
        <v>46302</v>
      </c>
      <c r="E2" s="17" t="inlineStr">
        <is>
          <t>[Staff name]</t>
        </is>
      </c>
      <c r="F2" s="21" t="n">
        <v>46303</v>
      </c>
      <c r="G2" s="17">
        <f>COUNTIF(Animals!O:O,A2)+COUNTIF(Replacements!G:G,A2)</f>
        <v/>
      </c>
      <c r="H2" s="21" t="n">
        <v>46319</v>
      </c>
      <c r="I2" s="17" t="inlineStr">
        <is>
          <t>[Drive link to B2026-01_GenomNZ.xlsx]</t>
        </is>
      </c>
      <c r="J2" s="17" t="inlineStr"/>
    </row>
    <row r="3">
      <c r="A3" s="20" t="inlineStr">
        <is>
          <t>B2026-02</t>
        </is>
      </c>
      <c r="B3" s="17" t="inlineStr">
        <is>
          <t>GenomNZ</t>
        </is>
      </c>
      <c r="C3" s="17" t="inlineStr">
        <is>
          <t>Results in</t>
        </is>
      </c>
      <c r="D3" s="21" t="n">
        <v>46315</v>
      </c>
      <c r="E3" s="17" t="inlineStr">
        <is>
          <t>[Staff name]</t>
        </is>
      </c>
      <c r="F3" s="21" t="n">
        <v>46316</v>
      </c>
      <c r="G3" s="17">
        <f>COUNTIF(Animals!O:O,A3)+COUNTIF(Replacements!G:G,A3)</f>
        <v/>
      </c>
      <c r="H3" s="21" t="n">
        <v>46322</v>
      </c>
      <c r="I3" s="17" t="inlineStr">
        <is>
          <t>[Drive link to B2026-02_GenomNZ.xlsx]</t>
        </is>
      </c>
      <c r="J3" s="17" t="inlineStr"/>
    </row>
    <row r="4">
      <c r="A4" s="22" t="n"/>
      <c r="D4" s="23" t="n"/>
      <c r="F4" s="23" t="n"/>
      <c r="H4" s="23" t="n"/>
    </row>
    <row r="5">
      <c r="A5" s="22" t="n"/>
      <c r="D5" s="23" t="n"/>
      <c r="F5" s="23" t="n"/>
      <c r="H5" s="23" t="n"/>
    </row>
    <row r="6">
      <c r="A6" s="22" t="n"/>
      <c r="D6" s="23" t="n"/>
      <c r="F6" s="23" t="n"/>
      <c r="H6" s="23" t="n"/>
    </row>
    <row r="7">
      <c r="A7" s="22" t="n"/>
      <c r="D7" s="23" t="n"/>
      <c r="F7" s="23" t="n"/>
      <c r="H7" s="23" t="n"/>
    </row>
    <row r="8">
      <c r="A8" s="22" t="n"/>
      <c r="D8" s="23" t="n"/>
      <c r="F8" s="23" t="n"/>
      <c r="H8" s="23" t="n"/>
    </row>
    <row r="9">
      <c r="A9" s="22" t="n"/>
      <c r="D9" s="23" t="n"/>
      <c r="F9" s="23" t="n"/>
      <c r="H9" s="23" t="n"/>
    </row>
    <row r="10">
      <c r="A10" s="22" t="n"/>
      <c r="D10" s="23" t="n"/>
      <c r="F10" s="23" t="n"/>
      <c r="H10" s="23" t="n"/>
    </row>
    <row r="11">
      <c r="A11" s="22" t="n"/>
      <c r="D11" s="23" t="n"/>
      <c r="F11" s="23" t="n"/>
      <c r="H11" s="23" t="n"/>
    </row>
    <row r="12">
      <c r="A12" s="22" t="n"/>
      <c r="D12" s="23" t="n"/>
      <c r="F12" s="23" t="n"/>
      <c r="H12" s="23" t="n"/>
    </row>
    <row r="13">
      <c r="A13" s="22" t="n"/>
      <c r="D13" s="23" t="n"/>
      <c r="F13" s="23" t="n"/>
      <c r="H13" s="23" t="n"/>
    </row>
    <row r="14">
      <c r="A14" s="22" t="n"/>
      <c r="D14" s="23" t="n"/>
      <c r="F14" s="23" t="n"/>
      <c r="H14" s="23" t="n"/>
    </row>
    <row r="15">
      <c r="A15" s="22" t="n"/>
      <c r="D15" s="23" t="n"/>
      <c r="F15" s="23" t="n"/>
      <c r="H15" s="23" t="n"/>
    </row>
    <row r="16">
      <c r="A16" s="22" t="n"/>
      <c r="D16" s="23" t="n"/>
      <c r="F16" s="23" t="n"/>
      <c r="H16" s="23" t="n"/>
    </row>
    <row r="17">
      <c r="A17" s="22" t="n"/>
      <c r="D17" s="23" t="n"/>
      <c r="F17" s="23" t="n"/>
      <c r="H17" s="23" t="n"/>
    </row>
    <row r="18">
      <c r="A18" s="22" t="n"/>
      <c r="D18" s="23" t="n"/>
      <c r="F18" s="23" t="n"/>
      <c r="H18" s="23" t="n"/>
    </row>
    <row r="19">
      <c r="A19" s="22" t="n"/>
      <c r="D19" s="23" t="n"/>
      <c r="F19" s="23" t="n"/>
      <c r="H19" s="23" t="n"/>
    </row>
    <row r="20">
      <c r="A20" s="22" t="n"/>
      <c r="D20" s="23" t="n"/>
      <c r="F20" s="23" t="n"/>
      <c r="H20" s="23" t="n"/>
    </row>
    <row r="21">
      <c r="A21" s="22" t="n"/>
      <c r="D21" s="23" t="n"/>
      <c r="F21" s="23" t="n"/>
      <c r="H21" s="23" t="n"/>
    </row>
    <row r="22">
      <c r="A22" s="22" t="n"/>
      <c r="D22" s="23" t="n"/>
      <c r="F22" s="23" t="n"/>
      <c r="H22" s="23" t="n"/>
    </row>
    <row r="23">
      <c r="A23" s="22" t="n"/>
      <c r="D23" s="23" t="n"/>
      <c r="F23" s="23" t="n"/>
      <c r="H23" s="23" t="n"/>
    </row>
    <row r="24">
      <c r="A24" s="22" t="n"/>
      <c r="D24" s="23" t="n"/>
      <c r="F24" s="23" t="n"/>
      <c r="H24" s="23" t="n"/>
    </row>
    <row r="25">
      <c r="A25" s="22" t="n"/>
      <c r="D25" s="23" t="n"/>
      <c r="F25" s="23" t="n"/>
      <c r="H25" s="23" t="n"/>
    </row>
    <row r="26">
      <c r="A26" s="22" t="n"/>
      <c r="D26" s="23" t="n"/>
      <c r="F26" s="23" t="n"/>
      <c r="H26" s="23" t="n"/>
    </row>
    <row r="27">
      <c r="A27" s="22" t="n"/>
      <c r="D27" s="23" t="n"/>
      <c r="F27" s="23" t="n"/>
      <c r="H27" s="23" t="n"/>
    </row>
    <row r="28">
      <c r="A28" s="22" t="n"/>
      <c r="D28" s="23" t="n"/>
      <c r="F28" s="23" t="n"/>
      <c r="H28" s="23" t="n"/>
    </row>
    <row r="29">
      <c r="A29" s="22" t="n"/>
      <c r="D29" s="23" t="n"/>
      <c r="F29" s="23" t="n"/>
      <c r="H29" s="23" t="n"/>
    </row>
    <row r="30">
      <c r="A30" s="22" t="n"/>
      <c r="D30" s="23" t="n"/>
      <c r="F30" s="23" t="n"/>
      <c r="H30" s="23" t="n"/>
    </row>
    <row r="31">
      <c r="A31" s="22" t="n"/>
      <c r="D31" s="23" t="n"/>
      <c r="F31" s="23" t="n"/>
      <c r="H31" s="23" t="n"/>
    </row>
    <row r="32">
      <c r="A32" s="22" t="n"/>
      <c r="D32" s="23" t="n"/>
      <c r="F32" s="23" t="n"/>
      <c r="H32" s="23" t="n"/>
    </row>
    <row r="33">
      <c r="A33" s="22" t="n"/>
      <c r="D33" s="23" t="n"/>
      <c r="F33" s="23" t="n"/>
      <c r="H33" s="23" t="n"/>
    </row>
    <row r="34">
      <c r="A34" s="22" t="n"/>
      <c r="D34" s="23" t="n"/>
      <c r="F34" s="23" t="n"/>
      <c r="H34" s="23" t="n"/>
    </row>
    <row r="35">
      <c r="A35" s="22" t="n"/>
      <c r="D35" s="23" t="n"/>
      <c r="F35" s="23" t="n"/>
      <c r="H35" s="23" t="n"/>
    </row>
    <row r="36">
      <c r="A36" s="22" t="n"/>
      <c r="D36" s="23" t="n"/>
      <c r="F36" s="23" t="n"/>
      <c r="H36" s="23" t="n"/>
    </row>
    <row r="37">
      <c r="A37" s="22" t="n"/>
      <c r="D37" s="23" t="n"/>
      <c r="F37" s="23" t="n"/>
      <c r="H37" s="23" t="n"/>
    </row>
    <row r="38">
      <c r="A38" s="22" t="n"/>
      <c r="D38" s="23" t="n"/>
      <c r="F38" s="23" t="n"/>
      <c r="H38" s="23" t="n"/>
    </row>
    <row r="39">
      <c r="A39" s="22" t="n"/>
      <c r="D39" s="23" t="n"/>
      <c r="F39" s="23" t="n"/>
      <c r="H39" s="23" t="n"/>
    </row>
    <row r="40">
      <c r="A40" s="22" t="n"/>
      <c r="D40" s="23" t="n"/>
      <c r="F40" s="23" t="n"/>
      <c r="H40" s="23" t="n"/>
    </row>
    <row r="41">
      <c r="A41" s="22" t="n"/>
      <c r="D41" s="23" t="n"/>
      <c r="F41" s="23" t="n"/>
      <c r="H41" s="23" t="n"/>
    </row>
    <row r="42">
      <c r="A42" s="22" t="n"/>
      <c r="D42" s="23" t="n"/>
      <c r="F42" s="23" t="n"/>
      <c r="H42" s="23" t="n"/>
    </row>
    <row r="43">
      <c r="A43" s="22" t="n"/>
      <c r="D43" s="23" t="n"/>
      <c r="F43" s="23" t="n"/>
      <c r="H43" s="23" t="n"/>
    </row>
    <row r="44">
      <c r="A44" s="22" t="n"/>
      <c r="D44" s="23" t="n"/>
      <c r="F44" s="23" t="n"/>
      <c r="H44" s="23" t="n"/>
    </row>
    <row r="45">
      <c r="A45" s="22" t="n"/>
      <c r="D45" s="23" t="n"/>
      <c r="F45" s="23" t="n"/>
      <c r="H45" s="23" t="n"/>
    </row>
    <row r="46">
      <c r="A46" s="22" t="n"/>
      <c r="D46" s="23" t="n"/>
      <c r="F46" s="23" t="n"/>
      <c r="H46" s="23" t="n"/>
    </row>
    <row r="47">
      <c r="A47" s="22" t="n"/>
      <c r="D47" s="23" t="n"/>
      <c r="F47" s="23" t="n"/>
      <c r="H47" s="23" t="n"/>
    </row>
    <row r="48">
      <c r="A48" s="22" t="n"/>
      <c r="D48" s="23" t="n"/>
      <c r="F48" s="23" t="n"/>
      <c r="H48" s="23" t="n"/>
    </row>
    <row r="49">
      <c r="A49" s="22" t="n"/>
      <c r="D49" s="23" t="n"/>
      <c r="F49" s="23" t="n"/>
      <c r="H49" s="23" t="n"/>
    </row>
    <row r="50">
      <c r="A50" s="22" t="n"/>
      <c r="D50" s="23" t="n"/>
      <c r="F50" s="23" t="n"/>
      <c r="H50" s="23" t="n"/>
    </row>
    <row r="51">
      <c r="A51" s="22" t="n"/>
      <c r="D51" s="23" t="n"/>
      <c r="F51" s="23" t="n"/>
      <c r="H51" s="23" t="n"/>
    </row>
    <row r="52">
      <c r="A52" s="22" t="n"/>
      <c r="D52" s="23" t="n"/>
      <c r="F52" s="23" t="n"/>
      <c r="H52" s="23" t="n"/>
    </row>
    <row r="53">
      <c r="A53" s="22" t="n"/>
      <c r="D53" s="23" t="n"/>
      <c r="F53" s="23" t="n"/>
      <c r="H53" s="23" t="n"/>
    </row>
    <row r="54">
      <c r="A54" s="22" t="n"/>
      <c r="D54" s="23" t="n"/>
      <c r="F54" s="23" t="n"/>
      <c r="H54" s="23" t="n"/>
    </row>
    <row r="55">
      <c r="A55" s="22" t="n"/>
      <c r="D55" s="23" t="n"/>
      <c r="F55" s="23" t="n"/>
      <c r="H55" s="23" t="n"/>
    </row>
    <row r="56">
      <c r="A56" s="22" t="n"/>
      <c r="D56" s="23" t="n"/>
      <c r="F56" s="23" t="n"/>
      <c r="H56" s="23" t="n"/>
    </row>
    <row r="57">
      <c r="A57" s="22" t="n"/>
      <c r="D57" s="23" t="n"/>
      <c r="F57" s="23" t="n"/>
      <c r="H57" s="23" t="n"/>
    </row>
    <row r="58">
      <c r="A58" s="22" t="n"/>
      <c r="D58" s="23" t="n"/>
      <c r="F58" s="23" t="n"/>
      <c r="H58" s="23" t="n"/>
    </row>
    <row r="59">
      <c r="A59" s="22" t="n"/>
      <c r="D59" s="23" t="n"/>
      <c r="F59" s="23" t="n"/>
      <c r="H59" s="23" t="n"/>
    </row>
    <row r="60">
      <c r="A60" s="22" t="n"/>
      <c r="D60" s="23" t="n"/>
      <c r="F60" s="23" t="n"/>
      <c r="H60" s="23" t="n"/>
    </row>
    <row r="61">
      <c r="A61" s="22" t="n"/>
      <c r="D61" s="23" t="n"/>
      <c r="F61" s="23" t="n"/>
      <c r="H61" s="23" t="n"/>
    </row>
    <row r="62">
      <c r="A62" s="22" t="n"/>
      <c r="D62" s="23" t="n"/>
      <c r="F62" s="23" t="n"/>
      <c r="H62" s="23" t="n"/>
    </row>
    <row r="63">
      <c r="A63" s="22" t="n"/>
      <c r="D63" s="23" t="n"/>
      <c r="F63" s="23" t="n"/>
      <c r="H63" s="23" t="n"/>
    </row>
    <row r="64">
      <c r="A64" s="22" t="n"/>
      <c r="D64" s="23" t="n"/>
      <c r="F64" s="23" t="n"/>
      <c r="H64" s="23" t="n"/>
    </row>
    <row r="65">
      <c r="A65" s="22" t="n"/>
      <c r="D65" s="23" t="n"/>
      <c r="F65" s="23" t="n"/>
      <c r="H65" s="23" t="n"/>
    </row>
    <row r="66">
      <c r="A66" s="22" t="n"/>
      <c r="D66" s="23" t="n"/>
      <c r="F66" s="23" t="n"/>
      <c r="H66" s="23" t="n"/>
    </row>
    <row r="67">
      <c r="A67" s="22" t="n"/>
      <c r="D67" s="23" t="n"/>
      <c r="F67" s="23" t="n"/>
      <c r="H67" s="23" t="n"/>
    </row>
    <row r="68">
      <c r="A68" s="22" t="n"/>
      <c r="D68" s="23" t="n"/>
      <c r="F68" s="23" t="n"/>
      <c r="H68" s="23" t="n"/>
    </row>
    <row r="69">
      <c r="A69" s="22" t="n"/>
      <c r="D69" s="23" t="n"/>
      <c r="F69" s="23" t="n"/>
      <c r="H69" s="23" t="n"/>
    </row>
    <row r="70">
      <c r="A70" s="22" t="n"/>
      <c r="D70" s="23" t="n"/>
      <c r="F70" s="23" t="n"/>
      <c r="H70" s="23" t="n"/>
    </row>
    <row r="71">
      <c r="A71" s="22" t="n"/>
      <c r="D71" s="23" t="n"/>
      <c r="F71" s="23" t="n"/>
      <c r="H71" s="23" t="n"/>
    </row>
    <row r="72">
      <c r="A72" s="22" t="n"/>
      <c r="D72" s="23" t="n"/>
      <c r="F72" s="23" t="n"/>
      <c r="H72" s="23" t="n"/>
    </row>
    <row r="73">
      <c r="A73" s="22" t="n"/>
      <c r="D73" s="23" t="n"/>
      <c r="F73" s="23" t="n"/>
      <c r="H73" s="23" t="n"/>
    </row>
    <row r="74">
      <c r="A74" s="22" t="n"/>
      <c r="D74" s="23" t="n"/>
      <c r="F74" s="23" t="n"/>
      <c r="H74" s="23" t="n"/>
    </row>
    <row r="75">
      <c r="A75" s="22" t="n"/>
      <c r="D75" s="23" t="n"/>
      <c r="F75" s="23" t="n"/>
      <c r="H75" s="23" t="n"/>
    </row>
    <row r="76">
      <c r="A76" s="22" t="n"/>
      <c r="D76" s="23" t="n"/>
      <c r="F76" s="23" t="n"/>
      <c r="H76" s="23" t="n"/>
    </row>
    <row r="77">
      <c r="A77" s="22" t="n"/>
      <c r="D77" s="23" t="n"/>
      <c r="F77" s="23" t="n"/>
      <c r="H77" s="23" t="n"/>
    </row>
    <row r="78">
      <c r="A78" s="22" t="n"/>
      <c r="D78" s="23" t="n"/>
      <c r="F78" s="23" t="n"/>
      <c r="H78" s="23" t="n"/>
    </row>
    <row r="79">
      <c r="A79" s="22" t="n"/>
      <c r="D79" s="23" t="n"/>
      <c r="F79" s="23" t="n"/>
      <c r="H79" s="23" t="n"/>
    </row>
    <row r="80">
      <c r="A80" s="22" t="n"/>
      <c r="D80" s="23" t="n"/>
      <c r="F80" s="23" t="n"/>
      <c r="H80" s="23" t="n"/>
    </row>
    <row r="81">
      <c r="A81" s="22" t="n"/>
      <c r="D81" s="23" t="n"/>
      <c r="F81" s="23" t="n"/>
      <c r="H81" s="23" t="n"/>
    </row>
    <row r="82">
      <c r="A82" s="22" t="n"/>
      <c r="D82" s="23" t="n"/>
      <c r="F82" s="23" t="n"/>
      <c r="H82" s="23" t="n"/>
    </row>
    <row r="83">
      <c r="A83" s="22" t="n"/>
      <c r="D83" s="23" t="n"/>
      <c r="F83" s="23" t="n"/>
      <c r="H83" s="23" t="n"/>
    </row>
    <row r="84">
      <c r="A84" s="22" t="n"/>
      <c r="D84" s="23" t="n"/>
      <c r="F84" s="23" t="n"/>
      <c r="H84" s="23" t="n"/>
    </row>
    <row r="85">
      <c r="A85" s="22" t="n"/>
      <c r="D85" s="23" t="n"/>
      <c r="F85" s="23" t="n"/>
      <c r="H85" s="23" t="n"/>
    </row>
    <row r="86">
      <c r="A86" s="22" t="n"/>
      <c r="D86" s="23" t="n"/>
      <c r="F86" s="23" t="n"/>
      <c r="H86" s="23" t="n"/>
    </row>
    <row r="87">
      <c r="A87" s="22" t="n"/>
      <c r="D87" s="23" t="n"/>
      <c r="F87" s="23" t="n"/>
      <c r="H87" s="23" t="n"/>
    </row>
    <row r="88">
      <c r="A88" s="22" t="n"/>
      <c r="D88" s="23" t="n"/>
      <c r="F88" s="23" t="n"/>
      <c r="H88" s="23" t="n"/>
    </row>
    <row r="89">
      <c r="A89" s="22" t="n"/>
      <c r="D89" s="23" t="n"/>
      <c r="F89" s="23" t="n"/>
      <c r="H89" s="23" t="n"/>
    </row>
    <row r="90">
      <c r="A90" s="22" t="n"/>
      <c r="D90" s="23" t="n"/>
      <c r="F90" s="23" t="n"/>
      <c r="H90" s="23" t="n"/>
    </row>
    <row r="91">
      <c r="A91" s="22" t="n"/>
      <c r="D91" s="23" t="n"/>
      <c r="F91" s="23" t="n"/>
      <c r="H91" s="23" t="n"/>
    </row>
    <row r="92">
      <c r="A92" s="22" t="n"/>
      <c r="D92" s="23" t="n"/>
      <c r="F92" s="23" t="n"/>
      <c r="H92" s="23" t="n"/>
    </row>
    <row r="93">
      <c r="A93" s="22" t="n"/>
      <c r="D93" s="23" t="n"/>
      <c r="F93" s="23" t="n"/>
      <c r="H93" s="23" t="n"/>
    </row>
    <row r="94">
      <c r="A94" s="22" t="n"/>
      <c r="D94" s="23" t="n"/>
      <c r="F94" s="23" t="n"/>
      <c r="H94" s="23" t="n"/>
    </row>
    <row r="95">
      <c r="A95" s="22" t="n"/>
      <c r="D95" s="23" t="n"/>
      <c r="F95" s="23" t="n"/>
      <c r="H95" s="23" t="n"/>
    </row>
    <row r="96">
      <c r="A96" s="22" t="n"/>
      <c r="D96" s="23" t="n"/>
      <c r="F96" s="23" t="n"/>
      <c r="H96" s="23" t="n"/>
    </row>
    <row r="97">
      <c r="A97" s="22" t="n"/>
      <c r="D97" s="23" t="n"/>
      <c r="F97" s="23" t="n"/>
      <c r="H97" s="23" t="n"/>
    </row>
    <row r="98">
      <c r="A98" s="22" t="n"/>
      <c r="D98" s="23" t="n"/>
      <c r="F98" s="23" t="n"/>
      <c r="H98" s="23" t="n"/>
    </row>
    <row r="99">
      <c r="A99" s="22" t="n"/>
      <c r="D99" s="23" t="n"/>
      <c r="F99" s="23" t="n"/>
      <c r="H99" s="23" t="n"/>
    </row>
    <row r="100">
      <c r="A100" s="22" t="n"/>
      <c r="D100" s="23" t="n"/>
      <c r="F100" s="23" t="n"/>
      <c r="H100" s="23" t="n"/>
    </row>
    <row r="101">
      <c r="A101" s="22" t="n"/>
      <c r="D101" s="23" t="n"/>
      <c r="F101" s="23" t="n"/>
      <c r="H101" s="23" t="n"/>
    </row>
    <row r="102">
      <c r="A102" s="22" t="n"/>
      <c r="D102" s="23" t="n"/>
      <c r="F102" s="23" t="n"/>
      <c r="H102" s="23" t="n"/>
    </row>
    <row r="103">
      <c r="A103" s="22" t="n"/>
      <c r="D103" s="23" t="n"/>
      <c r="F103" s="23" t="n"/>
      <c r="H103" s="23" t="n"/>
    </row>
    <row r="104">
      <c r="A104" s="22" t="n"/>
      <c r="D104" s="23" t="n"/>
      <c r="F104" s="23" t="n"/>
      <c r="H104" s="23" t="n"/>
    </row>
    <row r="105">
      <c r="A105" s="22" t="n"/>
      <c r="D105" s="23" t="n"/>
      <c r="F105" s="23" t="n"/>
      <c r="H105" s="23" t="n"/>
    </row>
    <row r="106">
      <c r="A106" s="22" t="n"/>
      <c r="D106" s="23" t="n"/>
      <c r="F106" s="23" t="n"/>
      <c r="H106" s="23" t="n"/>
    </row>
    <row r="107">
      <c r="A107" s="22" t="n"/>
      <c r="D107" s="23" t="n"/>
      <c r="F107" s="23" t="n"/>
      <c r="H107" s="23" t="n"/>
    </row>
    <row r="108">
      <c r="A108" s="22" t="n"/>
      <c r="D108" s="23" t="n"/>
      <c r="F108" s="23" t="n"/>
      <c r="H108" s="23" t="n"/>
    </row>
    <row r="109">
      <c r="A109" s="22" t="n"/>
      <c r="D109" s="23" t="n"/>
      <c r="F109" s="23" t="n"/>
      <c r="H109" s="23" t="n"/>
    </row>
    <row r="110">
      <c r="A110" s="22" t="n"/>
      <c r="D110" s="23" t="n"/>
      <c r="F110" s="23" t="n"/>
      <c r="H110" s="23" t="n"/>
    </row>
    <row r="111">
      <c r="A111" s="22" t="n"/>
      <c r="D111" s="23" t="n"/>
      <c r="F111" s="23" t="n"/>
      <c r="H111" s="23" t="n"/>
    </row>
    <row r="112">
      <c r="A112" s="22" t="n"/>
      <c r="D112" s="23" t="n"/>
      <c r="F112" s="23" t="n"/>
      <c r="H112" s="23" t="n"/>
    </row>
    <row r="113">
      <c r="A113" s="22" t="n"/>
      <c r="D113" s="23" t="n"/>
      <c r="F113" s="23" t="n"/>
      <c r="H113" s="23" t="n"/>
    </row>
    <row r="114">
      <c r="A114" s="22" t="n"/>
      <c r="D114" s="23" t="n"/>
      <c r="F114" s="23" t="n"/>
      <c r="H114" s="23" t="n"/>
    </row>
    <row r="115">
      <c r="A115" s="22" t="n"/>
      <c r="D115" s="23" t="n"/>
      <c r="F115" s="23" t="n"/>
      <c r="H115" s="23" t="n"/>
    </row>
    <row r="116">
      <c r="A116" s="22" t="n"/>
      <c r="D116" s="23" t="n"/>
      <c r="F116" s="23" t="n"/>
      <c r="H116" s="23" t="n"/>
    </row>
    <row r="117">
      <c r="A117" s="22" t="n"/>
      <c r="D117" s="23" t="n"/>
      <c r="F117" s="23" t="n"/>
      <c r="H117" s="23" t="n"/>
    </row>
    <row r="118">
      <c r="A118" s="22" t="n"/>
      <c r="D118" s="23" t="n"/>
      <c r="F118" s="23" t="n"/>
      <c r="H118" s="23" t="n"/>
    </row>
    <row r="119">
      <c r="A119" s="22" t="n"/>
      <c r="D119" s="23" t="n"/>
      <c r="F119" s="23" t="n"/>
      <c r="H119" s="23" t="n"/>
    </row>
    <row r="120">
      <c r="A120" s="22" t="n"/>
      <c r="D120" s="23" t="n"/>
      <c r="F120" s="23" t="n"/>
      <c r="H120" s="23" t="n"/>
    </row>
    <row r="121">
      <c r="A121" s="22" t="n"/>
      <c r="D121" s="23" t="n"/>
      <c r="F121" s="23" t="n"/>
      <c r="H121" s="23" t="n"/>
    </row>
    <row r="122">
      <c r="A122" s="22" t="n"/>
      <c r="D122" s="23" t="n"/>
      <c r="F122" s="23" t="n"/>
      <c r="H122" s="23" t="n"/>
    </row>
    <row r="123">
      <c r="A123" s="22" t="n"/>
      <c r="D123" s="23" t="n"/>
      <c r="F123" s="23" t="n"/>
      <c r="H123" s="23" t="n"/>
    </row>
    <row r="124">
      <c r="A124" s="22" t="n"/>
      <c r="D124" s="23" t="n"/>
      <c r="F124" s="23" t="n"/>
      <c r="H124" s="23" t="n"/>
    </row>
    <row r="125">
      <c r="A125" s="22" t="n"/>
      <c r="D125" s="23" t="n"/>
      <c r="F125" s="23" t="n"/>
      <c r="H125" s="23" t="n"/>
    </row>
    <row r="126">
      <c r="A126" s="22" t="n"/>
      <c r="D126" s="23" t="n"/>
      <c r="F126" s="23" t="n"/>
      <c r="H126" s="23" t="n"/>
    </row>
    <row r="127">
      <c r="A127" s="22" t="n"/>
      <c r="D127" s="23" t="n"/>
      <c r="F127" s="23" t="n"/>
      <c r="H127" s="23" t="n"/>
    </row>
    <row r="128">
      <c r="A128" s="22" t="n"/>
      <c r="D128" s="23" t="n"/>
      <c r="F128" s="23" t="n"/>
      <c r="H128" s="23" t="n"/>
    </row>
    <row r="129">
      <c r="A129" s="22" t="n"/>
      <c r="D129" s="23" t="n"/>
      <c r="F129" s="23" t="n"/>
      <c r="H129" s="23" t="n"/>
    </row>
    <row r="130">
      <c r="A130" s="22" t="n"/>
      <c r="D130" s="23" t="n"/>
      <c r="F130" s="23" t="n"/>
      <c r="H130" s="23" t="n"/>
    </row>
    <row r="131">
      <c r="A131" s="22" t="n"/>
      <c r="D131" s="23" t="n"/>
      <c r="F131" s="23" t="n"/>
      <c r="H131" s="23" t="n"/>
    </row>
    <row r="132">
      <c r="A132" s="22" t="n"/>
      <c r="D132" s="23" t="n"/>
      <c r="F132" s="23" t="n"/>
      <c r="H132" s="23" t="n"/>
    </row>
    <row r="133">
      <c r="A133" s="22" t="n"/>
      <c r="D133" s="23" t="n"/>
      <c r="F133" s="23" t="n"/>
      <c r="H133" s="23" t="n"/>
    </row>
    <row r="134">
      <c r="A134" s="22" t="n"/>
      <c r="D134" s="23" t="n"/>
      <c r="F134" s="23" t="n"/>
      <c r="H134" s="23" t="n"/>
    </row>
    <row r="135">
      <c r="A135" s="22" t="n"/>
      <c r="D135" s="23" t="n"/>
      <c r="F135" s="23" t="n"/>
      <c r="H135" s="23" t="n"/>
    </row>
    <row r="136">
      <c r="A136" s="22" t="n"/>
      <c r="D136" s="23" t="n"/>
      <c r="F136" s="23" t="n"/>
      <c r="H136" s="23" t="n"/>
    </row>
    <row r="137">
      <c r="A137" s="22" t="n"/>
      <c r="D137" s="23" t="n"/>
      <c r="F137" s="23" t="n"/>
      <c r="H137" s="23" t="n"/>
    </row>
    <row r="138">
      <c r="A138" s="22" t="n"/>
      <c r="D138" s="23" t="n"/>
      <c r="F138" s="23" t="n"/>
      <c r="H138" s="23" t="n"/>
    </row>
    <row r="139">
      <c r="A139" s="22" t="n"/>
      <c r="D139" s="23" t="n"/>
      <c r="F139" s="23" t="n"/>
      <c r="H139" s="23" t="n"/>
    </row>
    <row r="140">
      <c r="A140" s="22" t="n"/>
      <c r="D140" s="23" t="n"/>
      <c r="F140" s="23" t="n"/>
      <c r="H140" s="23" t="n"/>
    </row>
    <row r="141">
      <c r="A141" s="22" t="n"/>
      <c r="D141" s="23" t="n"/>
      <c r="F141" s="23" t="n"/>
      <c r="H141" s="23" t="n"/>
    </row>
    <row r="142">
      <c r="A142" s="22" t="n"/>
      <c r="D142" s="23" t="n"/>
      <c r="F142" s="23" t="n"/>
      <c r="H142" s="23" t="n"/>
    </row>
    <row r="143">
      <c r="A143" s="22" t="n"/>
      <c r="D143" s="23" t="n"/>
      <c r="F143" s="23" t="n"/>
      <c r="H143" s="23" t="n"/>
    </row>
    <row r="144">
      <c r="A144" s="22" t="n"/>
      <c r="D144" s="23" t="n"/>
      <c r="F144" s="23" t="n"/>
      <c r="H144" s="23" t="n"/>
    </row>
    <row r="145">
      <c r="A145" s="22" t="n"/>
      <c r="D145" s="23" t="n"/>
      <c r="F145" s="23" t="n"/>
      <c r="H145" s="23" t="n"/>
    </row>
    <row r="146">
      <c r="A146" s="22" t="n"/>
      <c r="D146" s="23" t="n"/>
      <c r="F146" s="23" t="n"/>
      <c r="H146" s="23" t="n"/>
    </row>
    <row r="147">
      <c r="A147" s="22" t="n"/>
      <c r="D147" s="23" t="n"/>
      <c r="F147" s="23" t="n"/>
      <c r="H147" s="23" t="n"/>
    </row>
    <row r="148">
      <c r="A148" s="22" t="n"/>
      <c r="D148" s="23" t="n"/>
      <c r="F148" s="23" t="n"/>
      <c r="H148" s="23" t="n"/>
    </row>
    <row r="149">
      <c r="A149" s="22" t="n"/>
      <c r="D149" s="23" t="n"/>
      <c r="F149" s="23" t="n"/>
      <c r="H149" s="23" t="n"/>
    </row>
    <row r="150">
      <c r="A150" s="22" t="n"/>
      <c r="D150" s="23" t="n"/>
      <c r="F150" s="23" t="n"/>
      <c r="H150" s="23" t="n"/>
    </row>
    <row r="151">
      <c r="A151" s="22" t="n"/>
      <c r="D151" s="23" t="n"/>
      <c r="F151" s="23" t="n"/>
      <c r="H151" s="23" t="n"/>
    </row>
    <row r="152">
      <c r="A152" s="22" t="n"/>
      <c r="D152" s="23" t="n"/>
      <c r="F152" s="23" t="n"/>
      <c r="H152" s="23" t="n"/>
    </row>
    <row r="153">
      <c r="A153" s="22" t="n"/>
      <c r="D153" s="23" t="n"/>
      <c r="F153" s="23" t="n"/>
      <c r="H153" s="23" t="n"/>
    </row>
    <row r="154">
      <c r="A154" s="22" t="n"/>
      <c r="D154" s="23" t="n"/>
      <c r="F154" s="23" t="n"/>
      <c r="H154" s="23" t="n"/>
    </row>
    <row r="155">
      <c r="A155" s="22" t="n"/>
      <c r="D155" s="23" t="n"/>
      <c r="F155" s="23" t="n"/>
      <c r="H155" s="23" t="n"/>
    </row>
    <row r="156">
      <c r="A156" s="22" t="n"/>
      <c r="D156" s="23" t="n"/>
      <c r="F156" s="23" t="n"/>
      <c r="H156" s="23" t="n"/>
    </row>
    <row r="157">
      <c r="A157" s="22" t="n"/>
      <c r="D157" s="23" t="n"/>
      <c r="F157" s="23" t="n"/>
      <c r="H157" s="23" t="n"/>
    </row>
    <row r="158">
      <c r="A158" s="22" t="n"/>
      <c r="D158" s="23" t="n"/>
      <c r="F158" s="23" t="n"/>
      <c r="H158" s="23" t="n"/>
    </row>
    <row r="159">
      <c r="A159" s="22" t="n"/>
      <c r="D159" s="23" t="n"/>
      <c r="F159" s="23" t="n"/>
      <c r="H159" s="23" t="n"/>
    </row>
    <row r="160">
      <c r="A160" s="22" t="n"/>
      <c r="D160" s="23" t="n"/>
      <c r="F160" s="23" t="n"/>
      <c r="H160" s="23" t="n"/>
    </row>
    <row r="161">
      <c r="A161" s="22" t="n"/>
      <c r="D161" s="23" t="n"/>
      <c r="F161" s="23" t="n"/>
      <c r="H161" s="23" t="n"/>
    </row>
    <row r="162">
      <c r="A162" s="22" t="n"/>
      <c r="D162" s="23" t="n"/>
      <c r="F162" s="23" t="n"/>
      <c r="H162" s="23" t="n"/>
    </row>
    <row r="163">
      <c r="A163" s="22" t="n"/>
      <c r="D163" s="23" t="n"/>
      <c r="F163" s="23" t="n"/>
      <c r="H163" s="23" t="n"/>
    </row>
    <row r="164">
      <c r="A164" s="22" t="n"/>
      <c r="D164" s="23" t="n"/>
      <c r="F164" s="23" t="n"/>
      <c r="H164" s="23" t="n"/>
    </row>
    <row r="165">
      <c r="A165" s="22" t="n"/>
      <c r="D165" s="23" t="n"/>
      <c r="F165" s="23" t="n"/>
      <c r="H165" s="23" t="n"/>
    </row>
    <row r="166">
      <c r="A166" s="22" t="n"/>
      <c r="D166" s="23" t="n"/>
      <c r="F166" s="23" t="n"/>
      <c r="H166" s="23" t="n"/>
    </row>
    <row r="167">
      <c r="A167" s="22" t="n"/>
      <c r="D167" s="23" t="n"/>
      <c r="F167" s="23" t="n"/>
      <c r="H167" s="23" t="n"/>
    </row>
    <row r="168">
      <c r="A168" s="22" t="n"/>
      <c r="D168" s="23" t="n"/>
      <c r="F168" s="23" t="n"/>
      <c r="H168" s="23" t="n"/>
    </row>
    <row r="169">
      <c r="A169" s="22" t="n"/>
      <c r="D169" s="23" t="n"/>
      <c r="F169" s="23" t="n"/>
      <c r="H169" s="23" t="n"/>
    </row>
    <row r="170">
      <c r="A170" s="22" t="n"/>
      <c r="D170" s="23" t="n"/>
      <c r="F170" s="23" t="n"/>
      <c r="H170" s="23" t="n"/>
    </row>
    <row r="171">
      <c r="A171" s="22" t="n"/>
      <c r="D171" s="23" t="n"/>
      <c r="F171" s="23" t="n"/>
      <c r="H171" s="23" t="n"/>
    </row>
    <row r="172">
      <c r="A172" s="22" t="n"/>
      <c r="D172" s="23" t="n"/>
      <c r="F172" s="23" t="n"/>
      <c r="H172" s="23" t="n"/>
    </row>
    <row r="173">
      <c r="A173" s="22" t="n"/>
      <c r="D173" s="23" t="n"/>
      <c r="F173" s="23" t="n"/>
      <c r="H173" s="23" t="n"/>
    </row>
    <row r="174">
      <c r="A174" s="22" t="n"/>
      <c r="D174" s="23" t="n"/>
      <c r="F174" s="23" t="n"/>
      <c r="H174" s="23" t="n"/>
    </row>
    <row r="175">
      <c r="A175" s="22" t="n"/>
      <c r="D175" s="23" t="n"/>
      <c r="F175" s="23" t="n"/>
      <c r="H175" s="23" t="n"/>
    </row>
    <row r="176">
      <c r="A176" s="22" t="n"/>
      <c r="D176" s="23" t="n"/>
      <c r="F176" s="23" t="n"/>
      <c r="H176" s="23" t="n"/>
    </row>
    <row r="177">
      <c r="A177" s="22" t="n"/>
      <c r="D177" s="23" t="n"/>
      <c r="F177" s="23" t="n"/>
      <c r="H177" s="23" t="n"/>
    </row>
    <row r="178">
      <c r="A178" s="22" t="n"/>
      <c r="D178" s="23" t="n"/>
      <c r="F178" s="23" t="n"/>
      <c r="H178" s="23" t="n"/>
    </row>
    <row r="179">
      <c r="A179" s="22" t="n"/>
      <c r="D179" s="23" t="n"/>
      <c r="F179" s="23" t="n"/>
      <c r="H179" s="23" t="n"/>
    </row>
    <row r="180">
      <c r="A180" s="22" t="n"/>
      <c r="D180" s="23" t="n"/>
      <c r="F180" s="23" t="n"/>
      <c r="H180" s="23" t="n"/>
    </row>
    <row r="181">
      <c r="A181" s="22" t="n"/>
      <c r="D181" s="23" t="n"/>
      <c r="F181" s="23" t="n"/>
      <c r="H181" s="23" t="n"/>
    </row>
    <row r="182">
      <c r="A182" s="22" t="n"/>
      <c r="D182" s="23" t="n"/>
      <c r="F182" s="23" t="n"/>
      <c r="H182" s="23" t="n"/>
    </row>
    <row r="183">
      <c r="A183" s="22" t="n"/>
      <c r="D183" s="23" t="n"/>
      <c r="F183" s="23" t="n"/>
      <c r="H183" s="23" t="n"/>
    </row>
    <row r="184">
      <c r="A184" s="22" t="n"/>
      <c r="D184" s="23" t="n"/>
      <c r="F184" s="23" t="n"/>
      <c r="H184" s="23" t="n"/>
    </row>
    <row r="185">
      <c r="A185" s="22" t="n"/>
      <c r="D185" s="23" t="n"/>
      <c r="F185" s="23" t="n"/>
      <c r="H185" s="23" t="n"/>
    </row>
    <row r="186">
      <c r="A186" s="22" t="n"/>
      <c r="D186" s="23" t="n"/>
      <c r="F186" s="23" t="n"/>
      <c r="H186" s="23" t="n"/>
    </row>
    <row r="187">
      <c r="A187" s="22" t="n"/>
      <c r="D187" s="23" t="n"/>
      <c r="F187" s="23" t="n"/>
      <c r="H187" s="23" t="n"/>
    </row>
    <row r="188">
      <c r="A188" s="22" t="n"/>
      <c r="D188" s="23" t="n"/>
      <c r="F188" s="23" t="n"/>
      <c r="H188" s="23" t="n"/>
    </row>
    <row r="189">
      <c r="A189" s="22" t="n"/>
      <c r="D189" s="23" t="n"/>
      <c r="F189" s="23" t="n"/>
      <c r="H189" s="23" t="n"/>
    </row>
    <row r="190">
      <c r="A190" s="22" t="n"/>
      <c r="D190" s="23" t="n"/>
      <c r="F190" s="23" t="n"/>
      <c r="H190" s="23" t="n"/>
    </row>
    <row r="191">
      <c r="A191" s="22" t="n"/>
      <c r="D191" s="23" t="n"/>
      <c r="F191" s="23" t="n"/>
      <c r="H191" s="23" t="n"/>
    </row>
    <row r="192">
      <c r="A192" s="22" t="n"/>
      <c r="D192" s="23" t="n"/>
      <c r="F192" s="23" t="n"/>
      <c r="H192" s="23" t="n"/>
    </row>
    <row r="193">
      <c r="A193" s="22" t="n"/>
      <c r="D193" s="23" t="n"/>
      <c r="F193" s="23" t="n"/>
      <c r="H193" s="23" t="n"/>
    </row>
    <row r="194">
      <c r="A194" s="22" t="n"/>
      <c r="D194" s="23" t="n"/>
      <c r="F194" s="23" t="n"/>
      <c r="H194" s="23" t="n"/>
    </row>
    <row r="195">
      <c r="A195" s="22" t="n"/>
      <c r="D195" s="23" t="n"/>
      <c r="F195" s="23" t="n"/>
      <c r="H195" s="23" t="n"/>
    </row>
    <row r="196">
      <c r="A196" s="22" t="n"/>
      <c r="D196" s="23" t="n"/>
      <c r="F196" s="23" t="n"/>
      <c r="H196" s="23" t="n"/>
    </row>
    <row r="197">
      <c r="A197" s="22" t="n"/>
      <c r="D197" s="23" t="n"/>
      <c r="F197" s="23" t="n"/>
      <c r="H197" s="23" t="n"/>
    </row>
    <row r="198">
      <c r="A198" s="22" t="n"/>
      <c r="D198" s="23" t="n"/>
      <c r="F198" s="23" t="n"/>
      <c r="H198" s="23" t="n"/>
    </row>
    <row r="199">
      <c r="A199" s="22" t="n"/>
      <c r="D199" s="23" t="n"/>
      <c r="F199" s="23" t="n"/>
      <c r="H199" s="23" t="n"/>
    </row>
  </sheetData>
  <dataValidations count="1">
    <dataValidation sqref="C2:C1000" showDropDown="0" showInputMessage="0" showErrorMessage="0" allowBlank="1" errorTitle="Not in list" error="Pick a value from the list" type="list">
      <formula1>"Building,Shipped,Results in,Cancelled"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99"/>
  <sheetViews>
    <sheetView zoomScale="110" workbookViewId="0">
      <pane xSplit="1" ySplit="1" topLeftCell="B2" activePane="bottomRight" state="frozen"/>
      <selection pane="topRight"/>
      <selection pane="bottomLeft"/>
      <selection pane="bottomRight" activeCell="A1" sqref="A1"/>
    </sheetView>
  </sheetViews>
  <sheetFormatPr baseColWidth="8" defaultRowHeight="15"/>
  <cols>
    <col width="18.4" customWidth="1" min="1" max="1"/>
    <col width="17" customWidth="1" min="2" max="2"/>
    <col width="17.3" customWidth="1" min="3" max="3"/>
    <col width="13" customWidth="1" min="4" max="4"/>
    <col width="16.2" customWidth="1" min="5" max="5"/>
    <col width="13" customWidth="1" min="6" max="6"/>
    <col width="18.4" customWidth="1" min="7" max="7"/>
    <col width="18.4" customWidth="1" min="8" max="8"/>
    <col width="11.8" customWidth="1" min="9" max="9"/>
    <col width="17.3" customWidth="1" min="10" max="10"/>
    <col width="15.1" customWidth="1" min="11" max="11"/>
    <col width="12.9" customWidth="1" min="12" max="12"/>
    <col width="36" customWidth="1" min="13" max="13"/>
  </cols>
  <sheetData>
    <row r="1" ht="24" customHeight="1">
      <c r="A1" s="18" t="inlineStr">
        <is>
          <t>Replacement_ID</t>
        </is>
      </c>
      <c r="B1" s="18" t="inlineStr">
        <is>
          <t>Animal_Key</t>
        </is>
      </c>
      <c r="C1" s="18" t="inlineStr">
        <is>
          <t>Submission_ID</t>
        </is>
      </c>
      <c r="D1" s="18" t="inlineStr">
        <is>
          <t>Reason</t>
        </is>
      </c>
      <c r="E1" s="18" t="inlineStr">
        <is>
          <t>Original_TSU</t>
        </is>
      </c>
      <c r="F1" s="18" t="inlineStr">
        <is>
          <t>New_TSU</t>
        </is>
      </c>
      <c r="G1" s="18" t="inlineStr">
        <is>
          <t>Original_Batch</t>
        </is>
      </c>
      <c r="H1" s="18" t="inlineStr">
        <is>
          <t>Requested_Date</t>
        </is>
      </c>
      <c r="I1" s="16" t="inlineStr">
        <is>
          <t>Received</t>
        </is>
      </c>
      <c r="J1" s="16" t="inlineStr">
        <is>
          <t>Received_Date</t>
        </is>
      </c>
      <c r="K1" s="16" t="inlineStr">
        <is>
          <t>Received_By</t>
        </is>
      </c>
      <c r="L1" s="16" t="inlineStr">
        <is>
          <t>New_Batch</t>
        </is>
      </c>
      <c r="M1" s="16" t="inlineStr">
        <is>
          <t>Notes</t>
        </is>
      </c>
    </row>
    <row r="2">
      <c r="A2" s="20" t="inlineStr">
        <is>
          <t>P003-01-R1</t>
        </is>
      </c>
      <c r="B2" s="20" t="inlineStr">
        <is>
          <t>P003-01-26007</t>
        </is>
      </c>
      <c r="C2" s="20" t="inlineStr">
        <is>
          <t>P003-01</t>
        </is>
      </c>
      <c r="D2" s="17" t="inlineStr">
        <is>
          <t>Failed QC</t>
        </is>
      </c>
      <c r="E2" s="20" t="inlineStr">
        <is>
          <t>NE05200007</t>
        </is>
      </c>
      <c r="F2" s="20" t="inlineStr">
        <is>
          <t>NE05200099</t>
        </is>
      </c>
      <c r="G2" s="20" t="inlineStr">
        <is>
          <t>B2026-01</t>
        </is>
      </c>
      <c r="H2" s="21" t="n">
        <v>46324</v>
      </c>
      <c r="I2" s="17" t="inlineStr"/>
      <c r="J2" s="21" t="n"/>
      <c r="K2" s="17" t="inlineStr"/>
      <c r="L2" s="20" t="inlineStr"/>
      <c r="M2" s="17" t="inlineStr">
        <is>
          <t>New TSU</t>
        </is>
      </c>
    </row>
    <row r="3">
      <c r="A3" s="20" t="inlineStr">
        <is>
          <t>P003-01-R1</t>
        </is>
      </c>
      <c r="B3" s="20" t="inlineStr">
        <is>
          <t>P003-01-0412</t>
        </is>
      </c>
      <c r="C3" s="20" t="inlineStr">
        <is>
          <t>P003-01</t>
        </is>
      </c>
      <c r="D3" s="17" t="inlineStr">
        <is>
          <t>Not received</t>
        </is>
      </c>
      <c r="E3" s="20" t="inlineStr">
        <is>
          <t>NE05200012</t>
        </is>
      </c>
      <c r="F3" s="20" t="inlineStr">
        <is>
          <t>NE05200012</t>
        </is>
      </c>
      <c r="G3" s="20" t="inlineStr"/>
      <c r="H3" s="21" t="n">
        <v>46324</v>
      </c>
      <c r="I3" s="17" t="inlineStr"/>
      <c r="J3" s="21" t="n"/>
      <c r="K3" s="17" t="inlineStr"/>
      <c r="L3" s="20" t="inlineStr"/>
      <c r="M3" s="17" t="inlineStr">
        <is>
          <t>Sending the original TSU</t>
        </is>
      </c>
    </row>
    <row r="4">
      <c r="A4" s="22" t="n"/>
      <c r="B4" s="22" t="n"/>
      <c r="C4" s="22" t="n"/>
      <c r="E4" s="22" t="n"/>
      <c r="F4" s="22" t="n"/>
      <c r="G4" s="22" t="n"/>
      <c r="H4" s="23" t="n"/>
      <c r="J4" s="23" t="n"/>
      <c r="L4" s="22" t="n"/>
    </row>
    <row r="5">
      <c r="A5" s="22" t="n"/>
      <c r="B5" s="22" t="n"/>
      <c r="C5" s="22" t="n"/>
      <c r="E5" s="22" t="n"/>
      <c r="F5" s="22" t="n"/>
      <c r="G5" s="22" t="n"/>
      <c r="H5" s="23" t="n"/>
      <c r="J5" s="23" t="n"/>
      <c r="L5" s="22" t="n"/>
    </row>
    <row r="6">
      <c r="A6" s="22" t="n"/>
      <c r="B6" s="22" t="n"/>
      <c r="C6" s="22" t="n"/>
      <c r="E6" s="22" t="n"/>
      <c r="F6" s="22" t="n"/>
      <c r="G6" s="22" t="n"/>
      <c r="H6" s="23" t="n"/>
      <c r="J6" s="23" t="n"/>
      <c r="L6" s="22" t="n"/>
    </row>
    <row r="7">
      <c r="A7" s="22" t="n"/>
      <c r="B7" s="22" t="n"/>
      <c r="C7" s="22" t="n"/>
      <c r="E7" s="22" t="n"/>
      <c r="F7" s="22" t="n"/>
      <c r="G7" s="22" t="n"/>
      <c r="H7" s="23" t="n"/>
      <c r="J7" s="23" t="n"/>
      <c r="L7" s="22" t="n"/>
    </row>
    <row r="8">
      <c r="A8" s="22" t="n"/>
      <c r="B8" s="22" t="n"/>
      <c r="C8" s="22" t="n"/>
      <c r="E8" s="22" t="n"/>
      <c r="F8" s="22" t="n"/>
      <c r="G8" s="22" t="n"/>
      <c r="H8" s="23" t="n"/>
      <c r="J8" s="23" t="n"/>
      <c r="L8" s="22" t="n"/>
    </row>
    <row r="9">
      <c r="A9" s="22" t="n"/>
      <c r="B9" s="22" t="n"/>
      <c r="C9" s="22" t="n"/>
      <c r="E9" s="22" t="n"/>
      <c r="F9" s="22" t="n"/>
      <c r="G9" s="22" t="n"/>
      <c r="H9" s="23" t="n"/>
      <c r="J9" s="23" t="n"/>
      <c r="L9" s="22" t="n"/>
    </row>
    <row r="10">
      <c r="A10" s="22" t="n"/>
      <c r="B10" s="22" t="n"/>
      <c r="C10" s="22" t="n"/>
      <c r="E10" s="22" t="n"/>
      <c r="F10" s="22" t="n"/>
      <c r="G10" s="22" t="n"/>
      <c r="H10" s="23" t="n"/>
      <c r="J10" s="23" t="n"/>
      <c r="L10" s="22" t="n"/>
    </row>
    <row r="11">
      <c r="A11" s="22" t="n"/>
      <c r="B11" s="22" t="n"/>
      <c r="C11" s="22" t="n"/>
      <c r="E11" s="22" t="n"/>
      <c r="F11" s="22" t="n"/>
      <c r="G11" s="22" t="n"/>
      <c r="H11" s="23" t="n"/>
      <c r="J11" s="23" t="n"/>
      <c r="L11" s="22" t="n"/>
    </row>
    <row r="12">
      <c r="A12" s="22" t="n"/>
      <c r="B12" s="22" t="n"/>
      <c r="C12" s="22" t="n"/>
      <c r="E12" s="22" t="n"/>
      <c r="F12" s="22" t="n"/>
      <c r="G12" s="22" t="n"/>
      <c r="H12" s="23" t="n"/>
      <c r="J12" s="23" t="n"/>
      <c r="L12" s="22" t="n"/>
    </row>
    <row r="13">
      <c r="A13" s="22" t="n"/>
      <c r="B13" s="22" t="n"/>
      <c r="C13" s="22" t="n"/>
      <c r="E13" s="22" t="n"/>
      <c r="F13" s="22" t="n"/>
      <c r="G13" s="22" t="n"/>
      <c r="H13" s="23" t="n"/>
      <c r="J13" s="23" t="n"/>
      <c r="L13" s="22" t="n"/>
    </row>
    <row r="14">
      <c r="A14" s="22" t="n"/>
      <c r="B14" s="22" t="n"/>
      <c r="C14" s="22" t="n"/>
      <c r="E14" s="22" t="n"/>
      <c r="F14" s="22" t="n"/>
      <c r="G14" s="22" t="n"/>
      <c r="H14" s="23" t="n"/>
      <c r="J14" s="23" t="n"/>
      <c r="L14" s="22" t="n"/>
    </row>
    <row r="15">
      <c r="A15" s="22" t="n"/>
      <c r="B15" s="22" t="n"/>
      <c r="C15" s="22" t="n"/>
      <c r="E15" s="22" t="n"/>
      <c r="F15" s="22" t="n"/>
      <c r="G15" s="22" t="n"/>
      <c r="H15" s="23" t="n"/>
      <c r="J15" s="23" t="n"/>
      <c r="L15" s="22" t="n"/>
    </row>
    <row r="16">
      <c r="A16" s="22" t="n"/>
      <c r="B16" s="22" t="n"/>
      <c r="C16" s="22" t="n"/>
      <c r="E16" s="22" t="n"/>
      <c r="F16" s="22" t="n"/>
      <c r="G16" s="22" t="n"/>
      <c r="H16" s="23" t="n"/>
      <c r="J16" s="23" t="n"/>
      <c r="L16" s="22" t="n"/>
    </row>
    <row r="17">
      <c r="A17" s="22" t="n"/>
      <c r="B17" s="22" t="n"/>
      <c r="C17" s="22" t="n"/>
      <c r="E17" s="22" t="n"/>
      <c r="F17" s="22" t="n"/>
      <c r="G17" s="22" t="n"/>
      <c r="H17" s="23" t="n"/>
      <c r="J17" s="23" t="n"/>
      <c r="L17" s="22" t="n"/>
    </row>
    <row r="18">
      <c r="A18" s="22" t="n"/>
      <c r="B18" s="22" t="n"/>
      <c r="C18" s="22" t="n"/>
      <c r="E18" s="22" t="n"/>
      <c r="F18" s="22" t="n"/>
      <c r="G18" s="22" t="n"/>
      <c r="H18" s="23" t="n"/>
      <c r="J18" s="23" t="n"/>
      <c r="L18" s="22" t="n"/>
    </row>
    <row r="19">
      <c r="A19" s="22" t="n"/>
      <c r="B19" s="22" t="n"/>
      <c r="C19" s="22" t="n"/>
      <c r="E19" s="22" t="n"/>
      <c r="F19" s="22" t="n"/>
      <c r="G19" s="22" t="n"/>
      <c r="H19" s="23" t="n"/>
      <c r="J19" s="23" t="n"/>
      <c r="L19" s="22" t="n"/>
    </row>
    <row r="20">
      <c r="A20" s="22" t="n"/>
      <c r="B20" s="22" t="n"/>
      <c r="C20" s="22" t="n"/>
      <c r="E20" s="22" t="n"/>
      <c r="F20" s="22" t="n"/>
      <c r="G20" s="22" t="n"/>
      <c r="H20" s="23" t="n"/>
      <c r="J20" s="23" t="n"/>
      <c r="L20" s="22" t="n"/>
    </row>
    <row r="21">
      <c r="A21" s="22" t="n"/>
      <c r="B21" s="22" t="n"/>
      <c r="C21" s="22" t="n"/>
      <c r="E21" s="22" t="n"/>
      <c r="F21" s="22" t="n"/>
      <c r="G21" s="22" t="n"/>
      <c r="H21" s="23" t="n"/>
      <c r="J21" s="23" t="n"/>
      <c r="L21" s="22" t="n"/>
    </row>
    <row r="22">
      <c r="A22" s="22" t="n"/>
      <c r="B22" s="22" t="n"/>
      <c r="C22" s="22" t="n"/>
      <c r="E22" s="22" t="n"/>
      <c r="F22" s="22" t="n"/>
      <c r="G22" s="22" t="n"/>
      <c r="H22" s="23" t="n"/>
      <c r="J22" s="23" t="n"/>
      <c r="L22" s="22" t="n"/>
    </row>
    <row r="23">
      <c r="A23" s="22" t="n"/>
      <c r="B23" s="22" t="n"/>
      <c r="C23" s="22" t="n"/>
      <c r="E23" s="22" t="n"/>
      <c r="F23" s="22" t="n"/>
      <c r="G23" s="22" t="n"/>
      <c r="H23" s="23" t="n"/>
      <c r="J23" s="23" t="n"/>
      <c r="L23" s="22" t="n"/>
    </row>
    <row r="24">
      <c r="A24" s="22" t="n"/>
      <c r="B24" s="22" t="n"/>
      <c r="C24" s="22" t="n"/>
      <c r="E24" s="22" t="n"/>
      <c r="F24" s="22" t="n"/>
      <c r="G24" s="22" t="n"/>
      <c r="H24" s="23" t="n"/>
      <c r="J24" s="23" t="n"/>
      <c r="L24" s="22" t="n"/>
    </row>
    <row r="25">
      <c r="A25" s="22" t="n"/>
      <c r="B25" s="22" t="n"/>
      <c r="C25" s="22" t="n"/>
      <c r="E25" s="22" t="n"/>
      <c r="F25" s="22" t="n"/>
      <c r="G25" s="22" t="n"/>
      <c r="H25" s="23" t="n"/>
      <c r="J25" s="23" t="n"/>
      <c r="L25" s="22" t="n"/>
    </row>
    <row r="26">
      <c r="A26" s="22" t="n"/>
      <c r="B26" s="22" t="n"/>
      <c r="C26" s="22" t="n"/>
      <c r="E26" s="22" t="n"/>
      <c r="F26" s="22" t="n"/>
      <c r="G26" s="22" t="n"/>
      <c r="H26" s="23" t="n"/>
      <c r="J26" s="23" t="n"/>
      <c r="L26" s="22" t="n"/>
    </row>
    <row r="27">
      <c r="A27" s="22" t="n"/>
      <c r="B27" s="22" t="n"/>
      <c r="C27" s="22" t="n"/>
      <c r="E27" s="22" t="n"/>
      <c r="F27" s="22" t="n"/>
      <c r="G27" s="22" t="n"/>
      <c r="H27" s="23" t="n"/>
      <c r="J27" s="23" t="n"/>
      <c r="L27" s="22" t="n"/>
    </row>
    <row r="28">
      <c r="A28" s="22" t="n"/>
      <c r="B28" s="22" t="n"/>
      <c r="C28" s="22" t="n"/>
      <c r="E28" s="22" t="n"/>
      <c r="F28" s="22" t="n"/>
      <c r="G28" s="22" t="n"/>
      <c r="H28" s="23" t="n"/>
      <c r="J28" s="23" t="n"/>
      <c r="L28" s="22" t="n"/>
    </row>
    <row r="29">
      <c r="A29" s="22" t="n"/>
      <c r="B29" s="22" t="n"/>
      <c r="C29" s="22" t="n"/>
      <c r="E29" s="22" t="n"/>
      <c r="F29" s="22" t="n"/>
      <c r="G29" s="22" t="n"/>
      <c r="H29" s="23" t="n"/>
      <c r="J29" s="23" t="n"/>
      <c r="L29" s="22" t="n"/>
    </row>
    <row r="30">
      <c r="A30" s="22" t="n"/>
      <c r="B30" s="22" t="n"/>
      <c r="C30" s="22" t="n"/>
      <c r="E30" s="22" t="n"/>
      <c r="F30" s="22" t="n"/>
      <c r="G30" s="22" t="n"/>
      <c r="H30" s="23" t="n"/>
      <c r="J30" s="23" t="n"/>
      <c r="L30" s="22" t="n"/>
    </row>
    <row r="31">
      <c r="A31" s="22" t="n"/>
      <c r="B31" s="22" t="n"/>
      <c r="C31" s="22" t="n"/>
      <c r="E31" s="22" t="n"/>
      <c r="F31" s="22" t="n"/>
      <c r="G31" s="22" t="n"/>
      <c r="H31" s="23" t="n"/>
      <c r="J31" s="23" t="n"/>
      <c r="L31" s="22" t="n"/>
    </row>
    <row r="32">
      <c r="A32" s="22" t="n"/>
      <c r="B32" s="22" t="n"/>
      <c r="C32" s="22" t="n"/>
      <c r="E32" s="22" t="n"/>
      <c r="F32" s="22" t="n"/>
      <c r="G32" s="22" t="n"/>
      <c r="H32" s="23" t="n"/>
      <c r="J32" s="23" t="n"/>
      <c r="L32" s="22" t="n"/>
    </row>
    <row r="33">
      <c r="A33" s="22" t="n"/>
      <c r="B33" s="22" t="n"/>
      <c r="C33" s="22" t="n"/>
      <c r="E33" s="22" t="n"/>
      <c r="F33" s="22" t="n"/>
      <c r="G33" s="22" t="n"/>
      <c r="H33" s="23" t="n"/>
      <c r="J33" s="23" t="n"/>
      <c r="L33" s="22" t="n"/>
    </row>
    <row r="34">
      <c r="A34" s="22" t="n"/>
      <c r="B34" s="22" t="n"/>
      <c r="C34" s="22" t="n"/>
      <c r="E34" s="22" t="n"/>
      <c r="F34" s="22" t="n"/>
      <c r="G34" s="22" t="n"/>
      <c r="H34" s="23" t="n"/>
      <c r="J34" s="23" t="n"/>
      <c r="L34" s="22" t="n"/>
    </row>
    <row r="35">
      <c r="A35" s="22" t="n"/>
      <c r="B35" s="22" t="n"/>
      <c r="C35" s="22" t="n"/>
      <c r="E35" s="22" t="n"/>
      <c r="F35" s="22" t="n"/>
      <c r="G35" s="22" t="n"/>
      <c r="H35" s="23" t="n"/>
      <c r="J35" s="23" t="n"/>
      <c r="L35" s="22" t="n"/>
    </row>
    <row r="36">
      <c r="A36" s="22" t="n"/>
      <c r="B36" s="22" t="n"/>
      <c r="C36" s="22" t="n"/>
      <c r="E36" s="22" t="n"/>
      <c r="F36" s="22" t="n"/>
      <c r="G36" s="22" t="n"/>
      <c r="H36" s="23" t="n"/>
      <c r="J36" s="23" t="n"/>
      <c r="L36" s="22" t="n"/>
    </row>
    <row r="37">
      <c r="A37" s="22" t="n"/>
      <c r="B37" s="22" t="n"/>
      <c r="C37" s="22" t="n"/>
      <c r="E37" s="22" t="n"/>
      <c r="F37" s="22" t="n"/>
      <c r="G37" s="22" t="n"/>
      <c r="H37" s="23" t="n"/>
      <c r="J37" s="23" t="n"/>
      <c r="L37" s="22" t="n"/>
    </row>
    <row r="38">
      <c r="A38" s="22" t="n"/>
      <c r="B38" s="22" t="n"/>
      <c r="C38" s="22" t="n"/>
      <c r="E38" s="22" t="n"/>
      <c r="F38" s="22" t="n"/>
      <c r="G38" s="22" t="n"/>
      <c r="H38" s="23" t="n"/>
      <c r="J38" s="23" t="n"/>
      <c r="L38" s="22" t="n"/>
    </row>
    <row r="39">
      <c r="A39" s="22" t="n"/>
      <c r="B39" s="22" t="n"/>
      <c r="C39" s="22" t="n"/>
      <c r="E39" s="22" t="n"/>
      <c r="F39" s="22" t="n"/>
      <c r="G39" s="22" t="n"/>
      <c r="H39" s="23" t="n"/>
      <c r="J39" s="23" t="n"/>
      <c r="L39" s="22" t="n"/>
    </row>
    <row r="40">
      <c r="A40" s="22" t="n"/>
      <c r="B40" s="22" t="n"/>
      <c r="C40" s="22" t="n"/>
      <c r="E40" s="22" t="n"/>
      <c r="F40" s="22" t="n"/>
      <c r="G40" s="22" t="n"/>
      <c r="H40" s="23" t="n"/>
      <c r="J40" s="23" t="n"/>
      <c r="L40" s="22" t="n"/>
    </row>
    <row r="41">
      <c r="A41" s="22" t="n"/>
      <c r="B41" s="22" t="n"/>
      <c r="C41" s="22" t="n"/>
      <c r="E41" s="22" t="n"/>
      <c r="F41" s="22" t="n"/>
      <c r="G41" s="22" t="n"/>
      <c r="H41" s="23" t="n"/>
      <c r="J41" s="23" t="n"/>
      <c r="L41" s="22" t="n"/>
    </row>
    <row r="42">
      <c r="A42" s="22" t="n"/>
      <c r="B42" s="22" t="n"/>
      <c r="C42" s="22" t="n"/>
      <c r="E42" s="22" t="n"/>
      <c r="F42" s="22" t="n"/>
      <c r="G42" s="22" t="n"/>
      <c r="H42" s="23" t="n"/>
      <c r="J42" s="23" t="n"/>
      <c r="L42" s="22" t="n"/>
    </row>
    <row r="43">
      <c r="A43" s="22" t="n"/>
      <c r="B43" s="22" t="n"/>
      <c r="C43" s="22" t="n"/>
      <c r="E43" s="22" t="n"/>
      <c r="F43" s="22" t="n"/>
      <c r="G43" s="22" t="n"/>
      <c r="H43" s="23" t="n"/>
      <c r="J43" s="23" t="n"/>
      <c r="L43" s="22" t="n"/>
    </row>
    <row r="44">
      <c r="A44" s="22" t="n"/>
      <c r="B44" s="22" t="n"/>
      <c r="C44" s="22" t="n"/>
      <c r="E44" s="22" t="n"/>
      <c r="F44" s="22" t="n"/>
      <c r="G44" s="22" t="n"/>
      <c r="H44" s="23" t="n"/>
      <c r="J44" s="23" t="n"/>
      <c r="L44" s="22" t="n"/>
    </row>
    <row r="45">
      <c r="A45" s="22" t="n"/>
      <c r="B45" s="22" t="n"/>
      <c r="C45" s="22" t="n"/>
      <c r="E45" s="22" t="n"/>
      <c r="F45" s="22" t="n"/>
      <c r="G45" s="22" t="n"/>
      <c r="H45" s="23" t="n"/>
      <c r="J45" s="23" t="n"/>
      <c r="L45" s="22" t="n"/>
    </row>
    <row r="46">
      <c r="A46" s="22" t="n"/>
      <c r="B46" s="22" t="n"/>
      <c r="C46" s="22" t="n"/>
      <c r="E46" s="22" t="n"/>
      <c r="F46" s="22" t="n"/>
      <c r="G46" s="22" t="n"/>
      <c r="H46" s="23" t="n"/>
      <c r="J46" s="23" t="n"/>
      <c r="L46" s="22" t="n"/>
    </row>
    <row r="47">
      <c r="A47" s="22" t="n"/>
      <c r="B47" s="22" t="n"/>
      <c r="C47" s="22" t="n"/>
      <c r="E47" s="22" t="n"/>
      <c r="F47" s="22" t="n"/>
      <c r="G47" s="22" t="n"/>
      <c r="H47" s="23" t="n"/>
      <c r="J47" s="23" t="n"/>
      <c r="L47" s="22" t="n"/>
    </row>
    <row r="48">
      <c r="A48" s="22" t="n"/>
      <c r="B48" s="22" t="n"/>
      <c r="C48" s="22" t="n"/>
      <c r="E48" s="22" t="n"/>
      <c r="F48" s="22" t="n"/>
      <c r="G48" s="22" t="n"/>
      <c r="H48" s="23" t="n"/>
      <c r="J48" s="23" t="n"/>
      <c r="L48" s="22" t="n"/>
    </row>
    <row r="49">
      <c r="A49" s="22" t="n"/>
      <c r="B49" s="22" t="n"/>
      <c r="C49" s="22" t="n"/>
      <c r="E49" s="22" t="n"/>
      <c r="F49" s="22" t="n"/>
      <c r="G49" s="22" t="n"/>
      <c r="H49" s="23" t="n"/>
      <c r="J49" s="23" t="n"/>
      <c r="L49" s="22" t="n"/>
    </row>
    <row r="50">
      <c r="A50" s="22" t="n"/>
      <c r="B50" s="22" t="n"/>
      <c r="C50" s="22" t="n"/>
      <c r="E50" s="22" t="n"/>
      <c r="F50" s="22" t="n"/>
      <c r="G50" s="22" t="n"/>
      <c r="H50" s="23" t="n"/>
      <c r="J50" s="23" t="n"/>
      <c r="L50" s="22" t="n"/>
    </row>
    <row r="51">
      <c r="A51" s="22" t="n"/>
      <c r="B51" s="22" t="n"/>
      <c r="C51" s="22" t="n"/>
      <c r="E51" s="22" t="n"/>
      <c r="F51" s="22" t="n"/>
      <c r="G51" s="22" t="n"/>
      <c r="H51" s="23" t="n"/>
      <c r="J51" s="23" t="n"/>
      <c r="L51" s="22" t="n"/>
    </row>
    <row r="52">
      <c r="A52" s="22" t="n"/>
      <c r="B52" s="22" t="n"/>
      <c r="C52" s="22" t="n"/>
      <c r="E52" s="22" t="n"/>
      <c r="F52" s="22" t="n"/>
      <c r="G52" s="22" t="n"/>
      <c r="H52" s="23" t="n"/>
      <c r="J52" s="23" t="n"/>
      <c r="L52" s="22" t="n"/>
    </row>
    <row r="53">
      <c r="A53" s="22" t="n"/>
      <c r="B53" s="22" t="n"/>
      <c r="C53" s="22" t="n"/>
      <c r="E53" s="22" t="n"/>
      <c r="F53" s="22" t="n"/>
      <c r="G53" s="22" t="n"/>
      <c r="H53" s="23" t="n"/>
      <c r="J53" s="23" t="n"/>
      <c r="L53" s="22" t="n"/>
    </row>
    <row r="54">
      <c r="A54" s="22" t="n"/>
      <c r="B54" s="22" t="n"/>
      <c r="C54" s="22" t="n"/>
      <c r="E54" s="22" t="n"/>
      <c r="F54" s="22" t="n"/>
      <c r="G54" s="22" t="n"/>
      <c r="H54" s="23" t="n"/>
      <c r="J54" s="23" t="n"/>
      <c r="L54" s="22" t="n"/>
    </row>
    <row r="55">
      <c r="A55" s="22" t="n"/>
      <c r="B55" s="22" t="n"/>
      <c r="C55" s="22" t="n"/>
      <c r="E55" s="22" t="n"/>
      <c r="F55" s="22" t="n"/>
      <c r="G55" s="22" t="n"/>
      <c r="H55" s="23" t="n"/>
      <c r="J55" s="23" t="n"/>
      <c r="L55" s="22" t="n"/>
    </row>
    <row r="56">
      <c r="A56" s="22" t="n"/>
      <c r="B56" s="22" t="n"/>
      <c r="C56" s="22" t="n"/>
      <c r="E56" s="22" t="n"/>
      <c r="F56" s="22" t="n"/>
      <c r="G56" s="22" t="n"/>
      <c r="H56" s="23" t="n"/>
      <c r="J56" s="23" t="n"/>
      <c r="L56" s="22" t="n"/>
    </row>
    <row r="57">
      <c r="A57" s="22" t="n"/>
      <c r="B57" s="22" t="n"/>
      <c r="C57" s="22" t="n"/>
      <c r="E57" s="22" t="n"/>
      <c r="F57" s="22" t="n"/>
      <c r="G57" s="22" t="n"/>
      <c r="H57" s="23" t="n"/>
      <c r="J57" s="23" t="n"/>
      <c r="L57" s="22" t="n"/>
    </row>
    <row r="58">
      <c r="A58" s="22" t="n"/>
      <c r="B58" s="22" t="n"/>
      <c r="C58" s="22" t="n"/>
      <c r="E58" s="22" t="n"/>
      <c r="F58" s="22" t="n"/>
      <c r="G58" s="22" t="n"/>
      <c r="H58" s="23" t="n"/>
      <c r="J58" s="23" t="n"/>
      <c r="L58" s="22" t="n"/>
    </row>
    <row r="59">
      <c r="A59" s="22" t="n"/>
      <c r="B59" s="22" t="n"/>
      <c r="C59" s="22" t="n"/>
      <c r="E59" s="22" t="n"/>
      <c r="F59" s="22" t="n"/>
      <c r="G59" s="22" t="n"/>
      <c r="H59" s="23" t="n"/>
      <c r="J59" s="23" t="n"/>
      <c r="L59" s="22" t="n"/>
    </row>
    <row r="60">
      <c r="A60" s="22" t="n"/>
      <c r="B60" s="22" t="n"/>
      <c r="C60" s="22" t="n"/>
      <c r="E60" s="22" t="n"/>
      <c r="F60" s="22" t="n"/>
      <c r="G60" s="22" t="n"/>
      <c r="H60" s="23" t="n"/>
      <c r="J60" s="23" t="n"/>
      <c r="L60" s="22" t="n"/>
    </row>
    <row r="61">
      <c r="A61" s="22" t="n"/>
      <c r="B61" s="22" t="n"/>
      <c r="C61" s="22" t="n"/>
      <c r="E61" s="22" t="n"/>
      <c r="F61" s="22" t="n"/>
      <c r="G61" s="22" t="n"/>
      <c r="H61" s="23" t="n"/>
      <c r="J61" s="23" t="n"/>
      <c r="L61" s="22" t="n"/>
    </row>
    <row r="62">
      <c r="A62" s="22" t="n"/>
      <c r="B62" s="22" t="n"/>
      <c r="C62" s="22" t="n"/>
      <c r="E62" s="22" t="n"/>
      <c r="F62" s="22" t="n"/>
      <c r="G62" s="22" t="n"/>
      <c r="H62" s="23" t="n"/>
      <c r="J62" s="23" t="n"/>
      <c r="L62" s="22" t="n"/>
    </row>
    <row r="63">
      <c r="A63" s="22" t="n"/>
      <c r="B63" s="22" t="n"/>
      <c r="C63" s="22" t="n"/>
      <c r="E63" s="22" t="n"/>
      <c r="F63" s="22" t="n"/>
      <c r="G63" s="22" t="n"/>
      <c r="H63" s="23" t="n"/>
      <c r="J63" s="23" t="n"/>
      <c r="L63" s="22" t="n"/>
    </row>
    <row r="64">
      <c r="A64" s="22" t="n"/>
      <c r="B64" s="22" t="n"/>
      <c r="C64" s="22" t="n"/>
      <c r="E64" s="22" t="n"/>
      <c r="F64" s="22" t="n"/>
      <c r="G64" s="22" t="n"/>
      <c r="H64" s="23" t="n"/>
      <c r="J64" s="23" t="n"/>
      <c r="L64" s="22" t="n"/>
    </row>
    <row r="65">
      <c r="A65" s="22" t="n"/>
      <c r="B65" s="22" t="n"/>
      <c r="C65" s="22" t="n"/>
      <c r="E65" s="22" t="n"/>
      <c r="F65" s="22" t="n"/>
      <c r="G65" s="22" t="n"/>
      <c r="H65" s="23" t="n"/>
      <c r="J65" s="23" t="n"/>
      <c r="L65" s="22" t="n"/>
    </row>
    <row r="66">
      <c r="A66" s="22" t="n"/>
      <c r="B66" s="22" t="n"/>
      <c r="C66" s="22" t="n"/>
      <c r="E66" s="22" t="n"/>
      <c r="F66" s="22" t="n"/>
      <c r="G66" s="22" t="n"/>
      <c r="H66" s="23" t="n"/>
      <c r="J66" s="23" t="n"/>
      <c r="L66" s="22" t="n"/>
    </row>
    <row r="67">
      <c r="A67" s="22" t="n"/>
      <c r="B67" s="22" t="n"/>
      <c r="C67" s="22" t="n"/>
      <c r="E67" s="22" t="n"/>
      <c r="F67" s="22" t="n"/>
      <c r="G67" s="22" t="n"/>
      <c r="H67" s="23" t="n"/>
      <c r="J67" s="23" t="n"/>
      <c r="L67" s="22" t="n"/>
    </row>
    <row r="68">
      <c r="A68" s="22" t="n"/>
      <c r="B68" s="22" t="n"/>
      <c r="C68" s="22" t="n"/>
      <c r="E68" s="22" t="n"/>
      <c r="F68" s="22" t="n"/>
      <c r="G68" s="22" t="n"/>
      <c r="H68" s="23" t="n"/>
      <c r="J68" s="23" t="n"/>
      <c r="L68" s="22" t="n"/>
    </row>
    <row r="69">
      <c r="A69" s="22" t="n"/>
      <c r="B69" s="22" t="n"/>
      <c r="C69" s="22" t="n"/>
      <c r="E69" s="22" t="n"/>
      <c r="F69" s="22" t="n"/>
      <c r="G69" s="22" t="n"/>
      <c r="H69" s="23" t="n"/>
      <c r="J69" s="23" t="n"/>
      <c r="L69" s="22" t="n"/>
    </row>
    <row r="70">
      <c r="A70" s="22" t="n"/>
      <c r="B70" s="22" t="n"/>
      <c r="C70" s="22" t="n"/>
      <c r="E70" s="22" t="n"/>
      <c r="F70" s="22" t="n"/>
      <c r="G70" s="22" t="n"/>
      <c r="H70" s="23" t="n"/>
      <c r="J70" s="23" t="n"/>
      <c r="L70" s="22" t="n"/>
    </row>
    <row r="71">
      <c r="A71" s="22" t="n"/>
      <c r="B71" s="22" t="n"/>
      <c r="C71" s="22" t="n"/>
      <c r="E71" s="22" t="n"/>
      <c r="F71" s="22" t="n"/>
      <c r="G71" s="22" t="n"/>
      <c r="H71" s="23" t="n"/>
      <c r="J71" s="23" t="n"/>
      <c r="L71" s="22" t="n"/>
    </row>
    <row r="72">
      <c r="A72" s="22" t="n"/>
      <c r="B72" s="22" t="n"/>
      <c r="C72" s="22" t="n"/>
      <c r="E72" s="22" t="n"/>
      <c r="F72" s="22" t="n"/>
      <c r="G72" s="22" t="n"/>
      <c r="H72" s="23" t="n"/>
      <c r="J72" s="23" t="n"/>
      <c r="L72" s="22" t="n"/>
    </row>
    <row r="73">
      <c r="A73" s="22" t="n"/>
      <c r="B73" s="22" t="n"/>
      <c r="C73" s="22" t="n"/>
      <c r="E73" s="22" t="n"/>
      <c r="F73" s="22" t="n"/>
      <c r="G73" s="22" t="n"/>
      <c r="H73" s="23" t="n"/>
      <c r="J73" s="23" t="n"/>
      <c r="L73" s="22" t="n"/>
    </row>
    <row r="74">
      <c r="A74" s="22" t="n"/>
      <c r="B74" s="22" t="n"/>
      <c r="C74" s="22" t="n"/>
      <c r="E74" s="22" t="n"/>
      <c r="F74" s="22" t="n"/>
      <c r="G74" s="22" t="n"/>
      <c r="H74" s="23" t="n"/>
      <c r="J74" s="23" t="n"/>
      <c r="L74" s="22" t="n"/>
    </row>
    <row r="75">
      <c r="A75" s="22" t="n"/>
      <c r="B75" s="22" t="n"/>
      <c r="C75" s="22" t="n"/>
      <c r="E75" s="22" t="n"/>
      <c r="F75" s="22" t="n"/>
      <c r="G75" s="22" t="n"/>
      <c r="H75" s="23" t="n"/>
      <c r="J75" s="23" t="n"/>
      <c r="L75" s="22" t="n"/>
    </row>
    <row r="76">
      <c r="A76" s="22" t="n"/>
      <c r="B76" s="22" t="n"/>
      <c r="C76" s="22" t="n"/>
      <c r="E76" s="22" t="n"/>
      <c r="F76" s="22" t="n"/>
      <c r="G76" s="22" t="n"/>
      <c r="H76" s="23" t="n"/>
      <c r="J76" s="23" t="n"/>
      <c r="L76" s="22" t="n"/>
    </row>
    <row r="77">
      <c r="A77" s="22" t="n"/>
      <c r="B77" s="22" t="n"/>
      <c r="C77" s="22" t="n"/>
      <c r="E77" s="22" t="n"/>
      <c r="F77" s="22" t="n"/>
      <c r="G77" s="22" t="n"/>
      <c r="H77" s="23" t="n"/>
      <c r="J77" s="23" t="n"/>
      <c r="L77" s="22" t="n"/>
    </row>
    <row r="78">
      <c r="A78" s="22" t="n"/>
      <c r="B78" s="22" t="n"/>
      <c r="C78" s="22" t="n"/>
      <c r="E78" s="22" t="n"/>
      <c r="F78" s="22" t="n"/>
      <c r="G78" s="22" t="n"/>
      <c r="H78" s="23" t="n"/>
      <c r="J78" s="23" t="n"/>
      <c r="L78" s="22" t="n"/>
    </row>
    <row r="79">
      <c r="A79" s="22" t="n"/>
      <c r="B79" s="22" t="n"/>
      <c r="C79" s="22" t="n"/>
      <c r="E79" s="22" t="n"/>
      <c r="F79" s="22" t="n"/>
      <c r="G79" s="22" t="n"/>
      <c r="H79" s="23" t="n"/>
      <c r="J79" s="23" t="n"/>
      <c r="L79" s="22" t="n"/>
    </row>
    <row r="80">
      <c r="A80" s="22" t="n"/>
      <c r="B80" s="22" t="n"/>
      <c r="C80" s="22" t="n"/>
      <c r="E80" s="22" t="n"/>
      <c r="F80" s="22" t="n"/>
      <c r="G80" s="22" t="n"/>
      <c r="H80" s="23" t="n"/>
      <c r="J80" s="23" t="n"/>
      <c r="L80" s="22" t="n"/>
    </row>
    <row r="81">
      <c r="A81" s="22" t="n"/>
      <c r="B81" s="22" t="n"/>
      <c r="C81" s="22" t="n"/>
      <c r="E81" s="22" t="n"/>
      <c r="F81" s="22" t="n"/>
      <c r="G81" s="22" t="n"/>
      <c r="H81" s="23" t="n"/>
      <c r="J81" s="23" t="n"/>
      <c r="L81" s="22" t="n"/>
    </row>
    <row r="82">
      <c r="A82" s="22" t="n"/>
      <c r="B82" s="22" t="n"/>
      <c r="C82" s="22" t="n"/>
      <c r="E82" s="22" t="n"/>
      <c r="F82" s="22" t="n"/>
      <c r="G82" s="22" t="n"/>
      <c r="H82" s="23" t="n"/>
      <c r="J82" s="23" t="n"/>
      <c r="L82" s="22" t="n"/>
    </row>
    <row r="83">
      <c r="A83" s="22" t="n"/>
      <c r="B83" s="22" t="n"/>
      <c r="C83" s="22" t="n"/>
      <c r="E83" s="22" t="n"/>
      <c r="F83" s="22" t="n"/>
      <c r="G83" s="22" t="n"/>
      <c r="H83" s="23" t="n"/>
      <c r="J83" s="23" t="n"/>
      <c r="L83" s="22" t="n"/>
    </row>
    <row r="84">
      <c r="A84" s="22" t="n"/>
      <c r="B84" s="22" t="n"/>
      <c r="C84" s="22" t="n"/>
      <c r="E84" s="22" t="n"/>
      <c r="F84" s="22" t="n"/>
      <c r="G84" s="22" t="n"/>
      <c r="H84" s="23" t="n"/>
      <c r="J84" s="23" t="n"/>
      <c r="L84" s="22" t="n"/>
    </row>
    <row r="85">
      <c r="A85" s="22" t="n"/>
      <c r="B85" s="22" t="n"/>
      <c r="C85" s="22" t="n"/>
      <c r="E85" s="22" t="n"/>
      <c r="F85" s="22" t="n"/>
      <c r="G85" s="22" t="n"/>
      <c r="H85" s="23" t="n"/>
      <c r="J85" s="23" t="n"/>
      <c r="L85" s="22" t="n"/>
    </row>
    <row r="86">
      <c r="A86" s="22" t="n"/>
      <c r="B86" s="22" t="n"/>
      <c r="C86" s="22" t="n"/>
      <c r="E86" s="22" t="n"/>
      <c r="F86" s="22" t="n"/>
      <c r="G86" s="22" t="n"/>
      <c r="H86" s="23" t="n"/>
      <c r="J86" s="23" t="n"/>
      <c r="L86" s="22" t="n"/>
    </row>
    <row r="87">
      <c r="A87" s="22" t="n"/>
      <c r="B87" s="22" t="n"/>
      <c r="C87" s="22" t="n"/>
      <c r="E87" s="22" t="n"/>
      <c r="F87" s="22" t="n"/>
      <c r="G87" s="22" t="n"/>
      <c r="H87" s="23" t="n"/>
      <c r="J87" s="23" t="n"/>
      <c r="L87" s="22" t="n"/>
    </row>
    <row r="88">
      <c r="A88" s="22" t="n"/>
      <c r="B88" s="22" t="n"/>
      <c r="C88" s="22" t="n"/>
      <c r="E88" s="22" t="n"/>
      <c r="F88" s="22" t="n"/>
      <c r="G88" s="22" t="n"/>
      <c r="H88" s="23" t="n"/>
      <c r="J88" s="23" t="n"/>
      <c r="L88" s="22" t="n"/>
    </row>
    <row r="89">
      <c r="A89" s="22" t="n"/>
      <c r="B89" s="22" t="n"/>
      <c r="C89" s="22" t="n"/>
      <c r="E89" s="22" t="n"/>
      <c r="F89" s="22" t="n"/>
      <c r="G89" s="22" t="n"/>
      <c r="H89" s="23" t="n"/>
      <c r="J89" s="23" t="n"/>
      <c r="L89" s="22" t="n"/>
    </row>
    <row r="90">
      <c r="A90" s="22" t="n"/>
      <c r="B90" s="22" t="n"/>
      <c r="C90" s="22" t="n"/>
      <c r="E90" s="22" t="n"/>
      <c r="F90" s="22" t="n"/>
      <c r="G90" s="22" t="n"/>
      <c r="H90" s="23" t="n"/>
      <c r="J90" s="23" t="n"/>
      <c r="L90" s="22" t="n"/>
    </row>
    <row r="91">
      <c r="A91" s="22" t="n"/>
      <c r="B91" s="22" t="n"/>
      <c r="C91" s="22" t="n"/>
      <c r="E91" s="22" t="n"/>
      <c r="F91" s="22" t="n"/>
      <c r="G91" s="22" t="n"/>
      <c r="H91" s="23" t="n"/>
      <c r="J91" s="23" t="n"/>
      <c r="L91" s="22" t="n"/>
    </row>
    <row r="92">
      <c r="A92" s="22" t="n"/>
      <c r="B92" s="22" t="n"/>
      <c r="C92" s="22" t="n"/>
      <c r="E92" s="22" t="n"/>
      <c r="F92" s="22" t="n"/>
      <c r="G92" s="22" t="n"/>
      <c r="H92" s="23" t="n"/>
      <c r="J92" s="23" t="n"/>
      <c r="L92" s="22" t="n"/>
    </row>
    <row r="93">
      <c r="A93" s="22" t="n"/>
      <c r="B93" s="22" t="n"/>
      <c r="C93" s="22" t="n"/>
      <c r="E93" s="22" t="n"/>
      <c r="F93" s="22" t="n"/>
      <c r="G93" s="22" t="n"/>
      <c r="H93" s="23" t="n"/>
      <c r="J93" s="23" t="n"/>
      <c r="L93" s="22" t="n"/>
    </row>
    <row r="94">
      <c r="A94" s="22" t="n"/>
      <c r="B94" s="22" t="n"/>
      <c r="C94" s="22" t="n"/>
      <c r="E94" s="22" t="n"/>
      <c r="F94" s="22" t="n"/>
      <c r="G94" s="22" t="n"/>
      <c r="H94" s="23" t="n"/>
      <c r="J94" s="23" t="n"/>
      <c r="L94" s="22" t="n"/>
    </row>
    <row r="95">
      <c r="A95" s="22" t="n"/>
      <c r="B95" s="22" t="n"/>
      <c r="C95" s="22" t="n"/>
      <c r="E95" s="22" t="n"/>
      <c r="F95" s="22" t="n"/>
      <c r="G95" s="22" t="n"/>
      <c r="H95" s="23" t="n"/>
      <c r="J95" s="23" t="n"/>
      <c r="L95" s="22" t="n"/>
    </row>
    <row r="96">
      <c r="A96" s="22" t="n"/>
      <c r="B96" s="22" t="n"/>
      <c r="C96" s="22" t="n"/>
      <c r="E96" s="22" t="n"/>
      <c r="F96" s="22" t="n"/>
      <c r="G96" s="22" t="n"/>
      <c r="H96" s="23" t="n"/>
      <c r="J96" s="23" t="n"/>
      <c r="L96" s="22" t="n"/>
    </row>
    <row r="97">
      <c r="A97" s="22" t="n"/>
      <c r="B97" s="22" t="n"/>
      <c r="C97" s="22" t="n"/>
      <c r="E97" s="22" t="n"/>
      <c r="F97" s="22" t="n"/>
      <c r="G97" s="22" t="n"/>
      <c r="H97" s="23" t="n"/>
      <c r="J97" s="23" t="n"/>
      <c r="L97" s="22" t="n"/>
    </row>
    <row r="98">
      <c r="A98" s="22" t="n"/>
      <c r="B98" s="22" t="n"/>
      <c r="C98" s="22" t="n"/>
      <c r="E98" s="22" t="n"/>
      <c r="F98" s="22" t="n"/>
      <c r="G98" s="22" t="n"/>
      <c r="H98" s="23" t="n"/>
      <c r="J98" s="23" t="n"/>
      <c r="L98" s="22" t="n"/>
    </row>
    <row r="99">
      <c r="A99" s="22" t="n"/>
      <c r="B99" s="22" t="n"/>
      <c r="C99" s="22" t="n"/>
      <c r="E99" s="22" t="n"/>
      <c r="F99" s="22" t="n"/>
      <c r="G99" s="22" t="n"/>
      <c r="H99" s="23" t="n"/>
      <c r="J99" s="23" t="n"/>
      <c r="L99" s="22" t="n"/>
    </row>
    <row r="100">
      <c r="A100" s="22" t="n"/>
      <c r="B100" s="22" t="n"/>
      <c r="C100" s="22" t="n"/>
      <c r="E100" s="22" t="n"/>
      <c r="F100" s="22" t="n"/>
      <c r="G100" s="22" t="n"/>
      <c r="H100" s="23" t="n"/>
      <c r="J100" s="23" t="n"/>
      <c r="L100" s="22" t="n"/>
    </row>
    <row r="101">
      <c r="A101" s="22" t="n"/>
      <c r="B101" s="22" t="n"/>
      <c r="C101" s="22" t="n"/>
      <c r="E101" s="22" t="n"/>
      <c r="F101" s="22" t="n"/>
      <c r="G101" s="22" t="n"/>
      <c r="H101" s="23" t="n"/>
      <c r="J101" s="23" t="n"/>
      <c r="L101" s="22" t="n"/>
    </row>
    <row r="102">
      <c r="A102" s="22" t="n"/>
      <c r="B102" s="22" t="n"/>
      <c r="C102" s="22" t="n"/>
      <c r="E102" s="22" t="n"/>
      <c r="F102" s="22" t="n"/>
      <c r="G102" s="22" t="n"/>
      <c r="H102" s="23" t="n"/>
      <c r="J102" s="23" t="n"/>
      <c r="L102" s="22" t="n"/>
    </row>
    <row r="103">
      <c r="A103" s="22" t="n"/>
      <c r="B103" s="22" t="n"/>
      <c r="C103" s="22" t="n"/>
      <c r="E103" s="22" t="n"/>
      <c r="F103" s="22" t="n"/>
      <c r="G103" s="22" t="n"/>
      <c r="H103" s="23" t="n"/>
      <c r="J103" s="23" t="n"/>
      <c r="L103" s="22" t="n"/>
    </row>
    <row r="104">
      <c r="A104" s="22" t="n"/>
      <c r="B104" s="22" t="n"/>
      <c r="C104" s="22" t="n"/>
      <c r="E104" s="22" t="n"/>
      <c r="F104" s="22" t="n"/>
      <c r="G104" s="22" t="n"/>
      <c r="H104" s="23" t="n"/>
      <c r="J104" s="23" t="n"/>
      <c r="L104" s="22" t="n"/>
    </row>
    <row r="105">
      <c r="A105" s="22" t="n"/>
      <c r="B105" s="22" t="n"/>
      <c r="C105" s="22" t="n"/>
      <c r="E105" s="22" t="n"/>
      <c r="F105" s="22" t="n"/>
      <c r="G105" s="22" t="n"/>
      <c r="H105" s="23" t="n"/>
      <c r="J105" s="23" t="n"/>
      <c r="L105" s="22" t="n"/>
    </row>
    <row r="106">
      <c r="A106" s="22" t="n"/>
      <c r="B106" s="22" t="n"/>
      <c r="C106" s="22" t="n"/>
      <c r="E106" s="22" t="n"/>
      <c r="F106" s="22" t="n"/>
      <c r="G106" s="22" t="n"/>
      <c r="H106" s="23" t="n"/>
      <c r="J106" s="23" t="n"/>
      <c r="L106" s="22" t="n"/>
    </row>
    <row r="107">
      <c r="A107" s="22" t="n"/>
      <c r="B107" s="22" t="n"/>
      <c r="C107" s="22" t="n"/>
      <c r="E107" s="22" t="n"/>
      <c r="F107" s="22" t="n"/>
      <c r="G107" s="22" t="n"/>
      <c r="H107" s="23" t="n"/>
      <c r="J107" s="23" t="n"/>
      <c r="L107" s="22" t="n"/>
    </row>
    <row r="108">
      <c r="A108" s="22" t="n"/>
      <c r="B108" s="22" t="n"/>
      <c r="C108" s="22" t="n"/>
      <c r="E108" s="22" t="n"/>
      <c r="F108" s="22" t="n"/>
      <c r="G108" s="22" t="n"/>
      <c r="H108" s="23" t="n"/>
      <c r="J108" s="23" t="n"/>
      <c r="L108" s="22" t="n"/>
    </row>
    <row r="109">
      <c r="A109" s="22" t="n"/>
      <c r="B109" s="22" t="n"/>
      <c r="C109" s="22" t="n"/>
      <c r="E109" s="22" t="n"/>
      <c r="F109" s="22" t="n"/>
      <c r="G109" s="22" t="n"/>
      <c r="H109" s="23" t="n"/>
      <c r="J109" s="23" t="n"/>
      <c r="L109" s="22" t="n"/>
    </row>
    <row r="110">
      <c r="A110" s="22" t="n"/>
      <c r="B110" s="22" t="n"/>
      <c r="C110" s="22" t="n"/>
      <c r="E110" s="22" t="n"/>
      <c r="F110" s="22" t="n"/>
      <c r="G110" s="22" t="n"/>
      <c r="H110" s="23" t="n"/>
      <c r="J110" s="23" t="n"/>
      <c r="L110" s="22" t="n"/>
    </row>
    <row r="111">
      <c r="A111" s="22" t="n"/>
      <c r="B111" s="22" t="n"/>
      <c r="C111" s="22" t="n"/>
      <c r="E111" s="22" t="n"/>
      <c r="F111" s="22" t="n"/>
      <c r="G111" s="22" t="n"/>
      <c r="H111" s="23" t="n"/>
      <c r="J111" s="23" t="n"/>
      <c r="L111" s="22" t="n"/>
    </row>
    <row r="112">
      <c r="A112" s="22" t="n"/>
      <c r="B112" s="22" t="n"/>
      <c r="C112" s="22" t="n"/>
      <c r="E112" s="22" t="n"/>
      <c r="F112" s="22" t="n"/>
      <c r="G112" s="22" t="n"/>
      <c r="H112" s="23" t="n"/>
      <c r="J112" s="23" t="n"/>
      <c r="L112" s="22" t="n"/>
    </row>
    <row r="113">
      <c r="A113" s="22" t="n"/>
      <c r="B113" s="22" t="n"/>
      <c r="C113" s="22" t="n"/>
      <c r="E113" s="22" t="n"/>
      <c r="F113" s="22" t="n"/>
      <c r="G113" s="22" t="n"/>
      <c r="H113" s="23" t="n"/>
      <c r="J113" s="23" t="n"/>
      <c r="L113" s="22" t="n"/>
    </row>
    <row r="114">
      <c r="A114" s="22" t="n"/>
      <c r="B114" s="22" t="n"/>
      <c r="C114" s="22" t="n"/>
      <c r="E114" s="22" t="n"/>
      <c r="F114" s="22" t="n"/>
      <c r="G114" s="22" t="n"/>
      <c r="H114" s="23" t="n"/>
      <c r="J114" s="23" t="n"/>
      <c r="L114" s="22" t="n"/>
    </row>
    <row r="115">
      <c r="A115" s="22" t="n"/>
      <c r="B115" s="22" t="n"/>
      <c r="C115" s="22" t="n"/>
      <c r="E115" s="22" t="n"/>
      <c r="F115" s="22" t="n"/>
      <c r="G115" s="22" t="n"/>
      <c r="H115" s="23" t="n"/>
      <c r="J115" s="23" t="n"/>
      <c r="L115" s="22" t="n"/>
    </row>
    <row r="116">
      <c r="A116" s="22" t="n"/>
      <c r="B116" s="22" t="n"/>
      <c r="C116" s="22" t="n"/>
      <c r="E116" s="22" t="n"/>
      <c r="F116" s="22" t="n"/>
      <c r="G116" s="22" t="n"/>
      <c r="H116" s="23" t="n"/>
      <c r="J116" s="23" t="n"/>
      <c r="L116" s="22" t="n"/>
    </row>
    <row r="117">
      <c r="A117" s="22" t="n"/>
      <c r="B117" s="22" t="n"/>
      <c r="C117" s="22" t="n"/>
      <c r="E117" s="22" t="n"/>
      <c r="F117" s="22" t="n"/>
      <c r="G117" s="22" t="n"/>
      <c r="H117" s="23" t="n"/>
      <c r="J117" s="23" t="n"/>
      <c r="L117" s="22" t="n"/>
    </row>
    <row r="118">
      <c r="A118" s="22" t="n"/>
      <c r="B118" s="22" t="n"/>
      <c r="C118" s="22" t="n"/>
      <c r="E118" s="22" t="n"/>
      <c r="F118" s="22" t="n"/>
      <c r="G118" s="22" t="n"/>
      <c r="H118" s="23" t="n"/>
      <c r="J118" s="23" t="n"/>
      <c r="L118" s="22" t="n"/>
    </row>
    <row r="119">
      <c r="A119" s="22" t="n"/>
      <c r="B119" s="22" t="n"/>
      <c r="C119" s="22" t="n"/>
      <c r="E119" s="22" t="n"/>
      <c r="F119" s="22" t="n"/>
      <c r="G119" s="22" t="n"/>
      <c r="H119" s="23" t="n"/>
      <c r="J119" s="23" t="n"/>
      <c r="L119" s="22" t="n"/>
    </row>
    <row r="120">
      <c r="A120" s="22" t="n"/>
      <c r="B120" s="22" t="n"/>
      <c r="C120" s="22" t="n"/>
      <c r="E120" s="22" t="n"/>
      <c r="F120" s="22" t="n"/>
      <c r="G120" s="22" t="n"/>
      <c r="H120" s="23" t="n"/>
      <c r="J120" s="23" t="n"/>
      <c r="L120" s="22" t="n"/>
    </row>
    <row r="121">
      <c r="A121" s="22" t="n"/>
      <c r="B121" s="22" t="n"/>
      <c r="C121" s="22" t="n"/>
      <c r="E121" s="22" t="n"/>
      <c r="F121" s="22" t="n"/>
      <c r="G121" s="22" t="n"/>
      <c r="H121" s="23" t="n"/>
      <c r="J121" s="23" t="n"/>
      <c r="L121" s="22" t="n"/>
    </row>
    <row r="122">
      <c r="A122" s="22" t="n"/>
      <c r="B122" s="22" t="n"/>
      <c r="C122" s="22" t="n"/>
      <c r="E122" s="22" t="n"/>
      <c r="F122" s="22" t="n"/>
      <c r="G122" s="22" t="n"/>
      <c r="H122" s="23" t="n"/>
      <c r="J122" s="23" t="n"/>
      <c r="L122" s="22" t="n"/>
    </row>
    <row r="123">
      <c r="A123" s="22" t="n"/>
      <c r="B123" s="22" t="n"/>
      <c r="C123" s="22" t="n"/>
      <c r="E123" s="22" t="n"/>
      <c r="F123" s="22" t="n"/>
      <c r="G123" s="22" t="n"/>
      <c r="H123" s="23" t="n"/>
      <c r="J123" s="23" t="n"/>
      <c r="L123" s="22" t="n"/>
    </row>
    <row r="124">
      <c r="A124" s="22" t="n"/>
      <c r="B124" s="22" t="n"/>
      <c r="C124" s="22" t="n"/>
      <c r="E124" s="22" t="n"/>
      <c r="F124" s="22" t="n"/>
      <c r="G124" s="22" t="n"/>
      <c r="H124" s="23" t="n"/>
      <c r="J124" s="23" t="n"/>
      <c r="L124" s="22" t="n"/>
    </row>
    <row r="125">
      <c r="A125" s="22" t="n"/>
      <c r="B125" s="22" t="n"/>
      <c r="C125" s="22" t="n"/>
      <c r="E125" s="22" t="n"/>
      <c r="F125" s="22" t="n"/>
      <c r="G125" s="22" t="n"/>
      <c r="H125" s="23" t="n"/>
      <c r="J125" s="23" t="n"/>
      <c r="L125" s="22" t="n"/>
    </row>
    <row r="126">
      <c r="A126" s="22" t="n"/>
      <c r="B126" s="22" t="n"/>
      <c r="C126" s="22" t="n"/>
      <c r="E126" s="22" t="n"/>
      <c r="F126" s="22" t="n"/>
      <c r="G126" s="22" t="n"/>
      <c r="H126" s="23" t="n"/>
      <c r="J126" s="23" t="n"/>
      <c r="L126" s="22" t="n"/>
    </row>
    <row r="127">
      <c r="A127" s="22" t="n"/>
      <c r="B127" s="22" t="n"/>
      <c r="C127" s="22" t="n"/>
      <c r="E127" s="22" t="n"/>
      <c r="F127" s="22" t="n"/>
      <c r="G127" s="22" t="n"/>
      <c r="H127" s="23" t="n"/>
      <c r="J127" s="23" t="n"/>
      <c r="L127" s="22" t="n"/>
    </row>
    <row r="128">
      <c r="A128" s="22" t="n"/>
      <c r="B128" s="22" t="n"/>
      <c r="C128" s="22" t="n"/>
      <c r="E128" s="22" t="n"/>
      <c r="F128" s="22" t="n"/>
      <c r="G128" s="22" t="n"/>
      <c r="H128" s="23" t="n"/>
      <c r="J128" s="23" t="n"/>
      <c r="L128" s="22" t="n"/>
    </row>
    <row r="129">
      <c r="A129" s="22" t="n"/>
      <c r="B129" s="22" t="n"/>
      <c r="C129" s="22" t="n"/>
      <c r="E129" s="22" t="n"/>
      <c r="F129" s="22" t="n"/>
      <c r="G129" s="22" t="n"/>
      <c r="H129" s="23" t="n"/>
      <c r="J129" s="23" t="n"/>
      <c r="L129" s="22" t="n"/>
    </row>
    <row r="130">
      <c r="A130" s="22" t="n"/>
      <c r="B130" s="22" t="n"/>
      <c r="C130" s="22" t="n"/>
      <c r="E130" s="22" t="n"/>
      <c r="F130" s="22" t="n"/>
      <c r="G130" s="22" t="n"/>
      <c r="H130" s="23" t="n"/>
      <c r="J130" s="23" t="n"/>
      <c r="L130" s="22" t="n"/>
    </row>
    <row r="131">
      <c r="A131" s="22" t="n"/>
      <c r="B131" s="22" t="n"/>
      <c r="C131" s="22" t="n"/>
      <c r="E131" s="22" t="n"/>
      <c r="F131" s="22" t="n"/>
      <c r="G131" s="22" t="n"/>
      <c r="H131" s="23" t="n"/>
      <c r="J131" s="23" t="n"/>
      <c r="L131" s="22" t="n"/>
    </row>
    <row r="132">
      <c r="A132" s="22" t="n"/>
      <c r="B132" s="22" t="n"/>
      <c r="C132" s="22" t="n"/>
      <c r="E132" s="22" t="n"/>
      <c r="F132" s="22" t="n"/>
      <c r="G132" s="22" t="n"/>
      <c r="H132" s="23" t="n"/>
      <c r="J132" s="23" t="n"/>
      <c r="L132" s="22" t="n"/>
    </row>
    <row r="133">
      <c r="A133" s="22" t="n"/>
      <c r="B133" s="22" t="n"/>
      <c r="C133" s="22" t="n"/>
      <c r="E133" s="22" t="n"/>
      <c r="F133" s="22" t="n"/>
      <c r="G133" s="22" t="n"/>
      <c r="H133" s="23" t="n"/>
      <c r="J133" s="23" t="n"/>
      <c r="L133" s="22" t="n"/>
    </row>
    <row r="134">
      <c r="A134" s="22" t="n"/>
      <c r="B134" s="22" t="n"/>
      <c r="C134" s="22" t="n"/>
      <c r="E134" s="22" t="n"/>
      <c r="F134" s="22" t="n"/>
      <c r="G134" s="22" t="n"/>
      <c r="H134" s="23" t="n"/>
      <c r="J134" s="23" t="n"/>
      <c r="L134" s="22" t="n"/>
    </row>
    <row r="135">
      <c r="A135" s="22" t="n"/>
      <c r="B135" s="22" t="n"/>
      <c r="C135" s="22" t="n"/>
      <c r="E135" s="22" t="n"/>
      <c r="F135" s="22" t="n"/>
      <c r="G135" s="22" t="n"/>
      <c r="H135" s="23" t="n"/>
      <c r="J135" s="23" t="n"/>
      <c r="L135" s="22" t="n"/>
    </row>
    <row r="136">
      <c r="A136" s="22" t="n"/>
      <c r="B136" s="22" t="n"/>
      <c r="C136" s="22" t="n"/>
      <c r="E136" s="22" t="n"/>
      <c r="F136" s="22" t="n"/>
      <c r="G136" s="22" t="n"/>
      <c r="H136" s="23" t="n"/>
      <c r="J136" s="23" t="n"/>
      <c r="L136" s="22" t="n"/>
    </row>
    <row r="137">
      <c r="A137" s="22" t="n"/>
      <c r="B137" s="22" t="n"/>
      <c r="C137" s="22" t="n"/>
      <c r="E137" s="22" t="n"/>
      <c r="F137" s="22" t="n"/>
      <c r="G137" s="22" t="n"/>
      <c r="H137" s="23" t="n"/>
      <c r="J137" s="23" t="n"/>
      <c r="L137" s="22" t="n"/>
    </row>
    <row r="138">
      <c r="A138" s="22" t="n"/>
      <c r="B138" s="22" t="n"/>
      <c r="C138" s="22" t="n"/>
      <c r="E138" s="22" t="n"/>
      <c r="F138" s="22" t="n"/>
      <c r="G138" s="22" t="n"/>
      <c r="H138" s="23" t="n"/>
      <c r="J138" s="23" t="n"/>
      <c r="L138" s="22" t="n"/>
    </row>
    <row r="139">
      <c r="A139" s="22" t="n"/>
      <c r="B139" s="22" t="n"/>
      <c r="C139" s="22" t="n"/>
      <c r="E139" s="22" t="n"/>
      <c r="F139" s="22" t="n"/>
      <c r="G139" s="22" t="n"/>
      <c r="H139" s="23" t="n"/>
      <c r="J139" s="23" t="n"/>
      <c r="L139" s="22" t="n"/>
    </row>
    <row r="140">
      <c r="A140" s="22" t="n"/>
      <c r="B140" s="22" t="n"/>
      <c r="C140" s="22" t="n"/>
      <c r="E140" s="22" t="n"/>
      <c r="F140" s="22" t="n"/>
      <c r="G140" s="22" t="n"/>
      <c r="H140" s="23" t="n"/>
      <c r="J140" s="23" t="n"/>
      <c r="L140" s="22" t="n"/>
    </row>
    <row r="141">
      <c r="A141" s="22" t="n"/>
      <c r="B141" s="22" t="n"/>
      <c r="C141" s="22" t="n"/>
      <c r="E141" s="22" t="n"/>
      <c r="F141" s="22" t="n"/>
      <c r="G141" s="22" t="n"/>
      <c r="H141" s="23" t="n"/>
      <c r="J141" s="23" t="n"/>
      <c r="L141" s="22" t="n"/>
    </row>
    <row r="142">
      <c r="A142" s="22" t="n"/>
      <c r="B142" s="22" t="n"/>
      <c r="C142" s="22" t="n"/>
      <c r="E142" s="22" t="n"/>
      <c r="F142" s="22" t="n"/>
      <c r="G142" s="22" t="n"/>
      <c r="H142" s="23" t="n"/>
      <c r="J142" s="23" t="n"/>
      <c r="L142" s="22" t="n"/>
    </row>
    <row r="143">
      <c r="A143" s="22" t="n"/>
      <c r="B143" s="22" t="n"/>
      <c r="C143" s="22" t="n"/>
      <c r="E143" s="22" t="n"/>
      <c r="F143" s="22" t="n"/>
      <c r="G143" s="22" t="n"/>
      <c r="H143" s="23" t="n"/>
      <c r="J143" s="23" t="n"/>
      <c r="L143" s="22" t="n"/>
    </row>
    <row r="144">
      <c r="A144" s="22" t="n"/>
      <c r="B144" s="22" t="n"/>
      <c r="C144" s="22" t="n"/>
      <c r="E144" s="22" t="n"/>
      <c r="F144" s="22" t="n"/>
      <c r="G144" s="22" t="n"/>
      <c r="H144" s="23" t="n"/>
      <c r="J144" s="23" t="n"/>
      <c r="L144" s="22" t="n"/>
    </row>
    <row r="145">
      <c r="A145" s="22" t="n"/>
      <c r="B145" s="22" t="n"/>
      <c r="C145" s="22" t="n"/>
      <c r="E145" s="22" t="n"/>
      <c r="F145" s="22" t="n"/>
      <c r="G145" s="22" t="n"/>
      <c r="H145" s="23" t="n"/>
      <c r="J145" s="23" t="n"/>
      <c r="L145" s="22" t="n"/>
    </row>
    <row r="146">
      <c r="A146" s="22" t="n"/>
      <c r="B146" s="22" t="n"/>
      <c r="C146" s="22" t="n"/>
      <c r="E146" s="22" t="n"/>
      <c r="F146" s="22" t="n"/>
      <c r="G146" s="22" t="n"/>
      <c r="H146" s="23" t="n"/>
      <c r="J146" s="23" t="n"/>
      <c r="L146" s="22" t="n"/>
    </row>
    <row r="147">
      <c r="A147" s="22" t="n"/>
      <c r="B147" s="22" t="n"/>
      <c r="C147" s="22" t="n"/>
      <c r="E147" s="22" t="n"/>
      <c r="F147" s="22" t="n"/>
      <c r="G147" s="22" t="n"/>
      <c r="H147" s="23" t="n"/>
      <c r="J147" s="23" t="n"/>
      <c r="L147" s="22" t="n"/>
    </row>
    <row r="148">
      <c r="A148" s="22" t="n"/>
      <c r="B148" s="22" t="n"/>
      <c r="C148" s="22" t="n"/>
      <c r="E148" s="22" t="n"/>
      <c r="F148" s="22" t="n"/>
      <c r="G148" s="22" t="n"/>
      <c r="H148" s="23" t="n"/>
      <c r="J148" s="23" t="n"/>
      <c r="L148" s="22" t="n"/>
    </row>
    <row r="149">
      <c r="A149" s="22" t="n"/>
      <c r="B149" s="22" t="n"/>
      <c r="C149" s="22" t="n"/>
      <c r="E149" s="22" t="n"/>
      <c r="F149" s="22" t="n"/>
      <c r="G149" s="22" t="n"/>
      <c r="H149" s="23" t="n"/>
      <c r="J149" s="23" t="n"/>
      <c r="L149" s="22" t="n"/>
    </row>
    <row r="150">
      <c r="A150" s="22" t="n"/>
      <c r="B150" s="22" t="n"/>
      <c r="C150" s="22" t="n"/>
      <c r="E150" s="22" t="n"/>
      <c r="F150" s="22" t="n"/>
      <c r="G150" s="22" t="n"/>
      <c r="H150" s="23" t="n"/>
      <c r="J150" s="23" t="n"/>
      <c r="L150" s="22" t="n"/>
    </row>
    <row r="151">
      <c r="A151" s="22" t="n"/>
      <c r="B151" s="22" t="n"/>
      <c r="C151" s="22" t="n"/>
      <c r="E151" s="22" t="n"/>
      <c r="F151" s="22" t="n"/>
      <c r="G151" s="22" t="n"/>
      <c r="H151" s="23" t="n"/>
      <c r="J151" s="23" t="n"/>
      <c r="L151" s="22" t="n"/>
    </row>
    <row r="152">
      <c r="A152" s="22" t="n"/>
      <c r="B152" s="22" t="n"/>
      <c r="C152" s="22" t="n"/>
      <c r="E152" s="22" t="n"/>
      <c r="F152" s="22" t="n"/>
      <c r="G152" s="22" t="n"/>
      <c r="H152" s="23" t="n"/>
      <c r="J152" s="23" t="n"/>
      <c r="L152" s="22" t="n"/>
    </row>
    <row r="153">
      <c r="A153" s="22" t="n"/>
      <c r="B153" s="22" t="n"/>
      <c r="C153" s="22" t="n"/>
      <c r="E153" s="22" t="n"/>
      <c r="F153" s="22" t="n"/>
      <c r="G153" s="22" t="n"/>
      <c r="H153" s="23" t="n"/>
      <c r="J153" s="23" t="n"/>
      <c r="L153" s="22" t="n"/>
    </row>
    <row r="154">
      <c r="A154" s="22" t="n"/>
      <c r="B154" s="22" t="n"/>
      <c r="C154" s="22" t="n"/>
      <c r="E154" s="22" t="n"/>
      <c r="F154" s="22" t="n"/>
      <c r="G154" s="22" t="n"/>
      <c r="H154" s="23" t="n"/>
      <c r="J154" s="23" t="n"/>
      <c r="L154" s="22" t="n"/>
    </row>
    <row r="155">
      <c r="A155" s="22" t="n"/>
      <c r="B155" s="22" t="n"/>
      <c r="C155" s="22" t="n"/>
      <c r="E155" s="22" t="n"/>
      <c r="F155" s="22" t="n"/>
      <c r="G155" s="22" t="n"/>
      <c r="H155" s="23" t="n"/>
      <c r="J155" s="23" t="n"/>
      <c r="L155" s="22" t="n"/>
    </row>
    <row r="156">
      <c r="A156" s="22" t="n"/>
      <c r="B156" s="22" t="n"/>
      <c r="C156" s="22" t="n"/>
      <c r="E156" s="22" t="n"/>
      <c r="F156" s="22" t="n"/>
      <c r="G156" s="22" t="n"/>
      <c r="H156" s="23" t="n"/>
      <c r="J156" s="23" t="n"/>
      <c r="L156" s="22" t="n"/>
    </row>
    <row r="157">
      <c r="A157" s="22" t="n"/>
      <c r="B157" s="22" t="n"/>
      <c r="C157" s="22" t="n"/>
      <c r="E157" s="22" t="n"/>
      <c r="F157" s="22" t="n"/>
      <c r="G157" s="22" t="n"/>
      <c r="H157" s="23" t="n"/>
      <c r="J157" s="23" t="n"/>
      <c r="L157" s="22" t="n"/>
    </row>
    <row r="158">
      <c r="A158" s="22" t="n"/>
      <c r="B158" s="22" t="n"/>
      <c r="C158" s="22" t="n"/>
      <c r="E158" s="22" t="n"/>
      <c r="F158" s="22" t="n"/>
      <c r="G158" s="22" t="n"/>
      <c r="H158" s="23" t="n"/>
      <c r="J158" s="23" t="n"/>
      <c r="L158" s="22" t="n"/>
    </row>
    <row r="159">
      <c r="A159" s="22" t="n"/>
      <c r="B159" s="22" t="n"/>
      <c r="C159" s="22" t="n"/>
      <c r="E159" s="22" t="n"/>
      <c r="F159" s="22" t="n"/>
      <c r="G159" s="22" t="n"/>
      <c r="H159" s="23" t="n"/>
      <c r="J159" s="23" t="n"/>
      <c r="L159" s="22" t="n"/>
    </row>
    <row r="160">
      <c r="A160" s="22" t="n"/>
      <c r="B160" s="22" t="n"/>
      <c r="C160" s="22" t="n"/>
      <c r="E160" s="22" t="n"/>
      <c r="F160" s="22" t="n"/>
      <c r="G160" s="22" t="n"/>
      <c r="H160" s="23" t="n"/>
      <c r="J160" s="23" t="n"/>
      <c r="L160" s="22" t="n"/>
    </row>
    <row r="161">
      <c r="A161" s="22" t="n"/>
      <c r="B161" s="22" t="n"/>
      <c r="C161" s="22" t="n"/>
      <c r="E161" s="22" t="n"/>
      <c r="F161" s="22" t="n"/>
      <c r="G161" s="22" t="n"/>
      <c r="H161" s="23" t="n"/>
      <c r="J161" s="23" t="n"/>
      <c r="L161" s="22" t="n"/>
    </row>
    <row r="162">
      <c r="A162" s="22" t="n"/>
      <c r="B162" s="22" t="n"/>
      <c r="C162" s="22" t="n"/>
      <c r="E162" s="22" t="n"/>
      <c r="F162" s="22" t="n"/>
      <c r="G162" s="22" t="n"/>
      <c r="H162" s="23" t="n"/>
      <c r="J162" s="23" t="n"/>
      <c r="L162" s="22" t="n"/>
    </row>
    <row r="163">
      <c r="A163" s="22" t="n"/>
      <c r="B163" s="22" t="n"/>
      <c r="C163" s="22" t="n"/>
      <c r="E163" s="22" t="n"/>
      <c r="F163" s="22" t="n"/>
      <c r="G163" s="22" t="n"/>
      <c r="H163" s="23" t="n"/>
      <c r="J163" s="23" t="n"/>
      <c r="L163" s="22" t="n"/>
    </row>
    <row r="164">
      <c r="A164" s="22" t="n"/>
      <c r="B164" s="22" t="n"/>
      <c r="C164" s="22" t="n"/>
      <c r="E164" s="22" t="n"/>
      <c r="F164" s="22" t="n"/>
      <c r="G164" s="22" t="n"/>
      <c r="H164" s="23" t="n"/>
      <c r="J164" s="23" t="n"/>
      <c r="L164" s="22" t="n"/>
    </row>
    <row r="165">
      <c r="A165" s="22" t="n"/>
      <c r="B165" s="22" t="n"/>
      <c r="C165" s="22" t="n"/>
      <c r="E165" s="22" t="n"/>
      <c r="F165" s="22" t="n"/>
      <c r="G165" s="22" t="n"/>
      <c r="H165" s="23" t="n"/>
      <c r="J165" s="23" t="n"/>
      <c r="L165" s="22" t="n"/>
    </row>
    <row r="166">
      <c r="A166" s="22" t="n"/>
      <c r="B166" s="22" t="n"/>
      <c r="C166" s="22" t="n"/>
      <c r="E166" s="22" t="n"/>
      <c r="F166" s="22" t="n"/>
      <c r="G166" s="22" t="n"/>
      <c r="H166" s="23" t="n"/>
      <c r="J166" s="23" t="n"/>
      <c r="L166" s="22" t="n"/>
    </row>
    <row r="167">
      <c r="A167" s="22" t="n"/>
      <c r="B167" s="22" t="n"/>
      <c r="C167" s="22" t="n"/>
      <c r="E167" s="22" t="n"/>
      <c r="F167" s="22" t="n"/>
      <c r="G167" s="22" t="n"/>
      <c r="H167" s="23" t="n"/>
      <c r="J167" s="23" t="n"/>
      <c r="L167" s="22" t="n"/>
    </row>
    <row r="168">
      <c r="A168" s="22" t="n"/>
      <c r="B168" s="22" t="n"/>
      <c r="C168" s="22" t="n"/>
      <c r="E168" s="22" t="n"/>
      <c r="F168" s="22" t="n"/>
      <c r="G168" s="22" t="n"/>
      <c r="H168" s="23" t="n"/>
      <c r="J168" s="23" t="n"/>
      <c r="L168" s="22" t="n"/>
    </row>
    <row r="169">
      <c r="A169" s="22" t="n"/>
      <c r="B169" s="22" t="n"/>
      <c r="C169" s="22" t="n"/>
      <c r="E169" s="22" t="n"/>
      <c r="F169" s="22" t="n"/>
      <c r="G169" s="22" t="n"/>
      <c r="H169" s="23" t="n"/>
      <c r="J169" s="23" t="n"/>
      <c r="L169" s="22" t="n"/>
    </row>
    <row r="170">
      <c r="A170" s="22" t="n"/>
      <c r="B170" s="22" t="n"/>
      <c r="C170" s="22" t="n"/>
      <c r="E170" s="22" t="n"/>
      <c r="F170" s="22" t="n"/>
      <c r="G170" s="22" t="n"/>
      <c r="H170" s="23" t="n"/>
      <c r="J170" s="23" t="n"/>
      <c r="L170" s="22" t="n"/>
    </row>
    <row r="171">
      <c r="A171" s="22" t="n"/>
      <c r="B171" s="22" t="n"/>
      <c r="C171" s="22" t="n"/>
      <c r="E171" s="22" t="n"/>
      <c r="F171" s="22" t="n"/>
      <c r="G171" s="22" t="n"/>
      <c r="H171" s="23" t="n"/>
      <c r="J171" s="23" t="n"/>
      <c r="L171" s="22" t="n"/>
    </row>
    <row r="172">
      <c r="A172" s="22" t="n"/>
      <c r="B172" s="22" t="n"/>
      <c r="C172" s="22" t="n"/>
      <c r="E172" s="22" t="n"/>
      <c r="F172" s="22" t="n"/>
      <c r="G172" s="22" t="n"/>
      <c r="H172" s="23" t="n"/>
      <c r="J172" s="23" t="n"/>
      <c r="L172" s="22" t="n"/>
    </row>
    <row r="173">
      <c r="A173" s="22" t="n"/>
      <c r="B173" s="22" t="n"/>
      <c r="C173" s="22" t="n"/>
      <c r="E173" s="22" t="n"/>
      <c r="F173" s="22" t="n"/>
      <c r="G173" s="22" t="n"/>
      <c r="H173" s="23" t="n"/>
      <c r="J173" s="23" t="n"/>
      <c r="L173" s="22" t="n"/>
    </row>
    <row r="174">
      <c r="A174" s="22" t="n"/>
      <c r="B174" s="22" t="n"/>
      <c r="C174" s="22" t="n"/>
      <c r="E174" s="22" t="n"/>
      <c r="F174" s="22" t="n"/>
      <c r="G174" s="22" t="n"/>
      <c r="H174" s="23" t="n"/>
      <c r="J174" s="23" t="n"/>
      <c r="L174" s="22" t="n"/>
    </row>
    <row r="175">
      <c r="A175" s="22" t="n"/>
      <c r="B175" s="22" t="n"/>
      <c r="C175" s="22" t="n"/>
      <c r="E175" s="22" t="n"/>
      <c r="F175" s="22" t="n"/>
      <c r="G175" s="22" t="n"/>
      <c r="H175" s="23" t="n"/>
      <c r="J175" s="23" t="n"/>
      <c r="L175" s="22" t="n"/>
    </row>
    <row r="176">
      <c r="A176" s="22" t="n"/>
      <c r="B176" s="22" t="n"/>
      <c r="C176" s="22" t="n"/>
      <c r="E176" s="22" t="n"/>
      <c r="F176" s="22" t="n"/>
      <c r="G176" s="22" t="n"/>
      <c r="H176" s="23" t="n"/>
      <c r="J176" s="23" t="n"/>
      <c r="L176" s="22" t="n"/>
    </row>
    <row r="177">
      <c r="A177" s="22" t="n"/>
      <c r="B177" s="22" t="n"/>
      <c r="C177" s="22" t="n"/>
      <c r="E177" s="22" t="n"/>
      <c r="F177" s="22" t="n"/>
      <c r="G177" s="22" t="n"/>
      <c r="H177" s="23" t="n"/>
      <c r="J177" s="23" t="n"/>
      <c r="L177" s="22" t="n"/>
    </row>
    <row r="178">
      <c r="A178" s="22" t="n"/>
      <c r="B178" s="22" t="n"/>
      <c r="C178" s="22" t="n"/>
      <c r="E178" s="22" t="n"/>
      <c r="F178" s="22" t="n"/>
      <c r="G178" s="22" t="n"/>
      <c r="H178" s="23" t="n"/>
      <c r="J178" s="23" t="n"/>
      <c r="L178" s="22" t="n"/>
    </row>
    <row r="179">
      <c r="A179" s="22" t="n"/>
      <c r="B179" s="22" t="n"/>
      <c r="C179" s="22" t="n"/>
      <c r="E179" s="22" t="n"/>
      <c r="F179" s="22" t="n"/>
      <c r="G179" s="22" t="n"/>
      <c r="H179" s="23" t="n"/>
      <c r="J179" s="23" t="n"/>
      <c r="L179" s="22" t="n"/>
    </row>
    <row r="180">
      <c r="A180" s="22" t="n"/>
      <c r="B180" s="22" t="n"/>
      <c r="C180" s="22" t="n"/>
      <c r="E180" s="22" t="n"/>
      <c r="F180" s="22" t="n"/>
      <c r="G180" s="22" t="n"/>
      <c r="H180" s="23" t="n"/>
      <c r="J180" s="23" t="n"/>
      <c r="L180" s="22" t="n"/>
    </row>
    <row r="181">
      <c r="A181" s="22" t="n"/>
      <c r="B181" s="22" t="n"/>
      <c r="C181" s="22" t="n"/>
      <c r="E181" s="22" t="n"/>
      <c r="F181" s="22" t="n"/>
      <c r="G181" s="22" t="n"/>
      <c r="H181" s="23" t="n"/>
      <c r="J181" s="23" t="n"/>
      <c r="L181" s="22" t="n"/>
    </row>
    <row r="182">
      <c r="A182" s="22" t="n"/>
      <c r="B182" s="22" t="n"/>
      <c r="C182" s="22" t="n"/>
      <c r="E182" s="22" t="n"/>
      <c r="F182" s="22" t="n"/>
      <c r="G182" s="22" t="n"/>
      <c r="H182" s="23" t="n"/>
      <c r="J182" s="23" t="n"/>
      <c r="L182" s="22" t="n"/>
    </row>
    <row r="183">
      <c r="A183" s="22" t="n"/>
      <c r="B183" s="22" t="n"/>
      <c r="C183" s="22" t="n"/>
      <c r="E183" s="22" t="n"/>
      <c r="F183" s="22" t="n"/>
      <c r="G183" s="22" t="n"/>
      <c r="H183" s="23" t="n"/>
      <c r="J183" s="23" t="n"/>
      <c r="L183" s="22" t="n"/>
    </row>
    <row r="184">
      <c r="A184" s="22" t="n"/>
      <c r="B184" s="22" t="n"/>
      <c r="C184" s="22" t="n"/>
      <c r="E184" s="22" t="n"/>
      <c r="F184" s="22" t="n"/>
      <c r="G184" s="22" t="n"/>
      <c r="H184" s="23" t="n"/>
      <c r="J184" s="23" t="n"/>
      <c r="L184" s="22" t="n"/>
    </row>
    <row r="185">
      <c r="A185" s="22" t="n"/>
      <c r="B185" s="22" t="n"/>
      <c r="C185" s="22" t="n"/>
      <c r="E185" s="22" t="n"/>
      <c r="F185" s="22" t="n"/>
      <c r="G185" s="22" t="n"/>
      <c r="H185" s="23" t="n"/>
      <c r="J185" s="23" t="n"/>
      <c r="L185" s="22" t="n"/>
    </row>
    <row r="186">
      <c r="A186" s="22" t="n"/>
      <c r="B186" s="22" t="n"/>
      <c r="C186" s="22" t="n"/>
      <c r="E186" s="22" t="n"/>
      <c r="F186" s="22" t="n"/>
      <c r="G186" s="22" t="n"/>
      <c r="H186" s="23" t="n"/>
      <c r="J186" s="23" t="n"/>
      <c r="L186" s="22" t="n"/>
    </row>
    <row r="187">
      <c r="A187" s="22" t="n"/>
      <c r="B187" s="22" t="n"/>
      <c r="C187" s="22" t="n"/>
      <c r="E187" s="22" t="n"/>
      <c r="F187" s="22" t="n"/>
      <c r="G187" s="22" t="n"/>
      <c r="H187" s="23" t="n"/>
      <c r="J187" s="23" t="n"/>
      <c r="L187" s="22" t="n"/>
    </row>
    <row r="188">
      <c r="A188" s="22" t="n"/>
      <c r="B188" s="22" t="n"/>
      <c r="C188" s="22" t="n"/>
      <c r="E188" s="22" t="n"/>
      <c r="F188" s="22" t="n"/>
      <c r="G188" s="22" t="n"/>
      <c r="H188" s="23" t="n"/>
      <c r="J188" s="23" t="n"/>
      <c r="L188" s="22" t="n"/>
    </row>
    <row r="189">
      <c r="A189" s="22" t="n"/>
      <c r="B189" s="22" t="n"/>
      <c r="C189" s="22" t="n"/>
      <c r="E189" s="22" t="n"/>
      <c r="F189" s="22" t="n"/>
      <c r="G189" s="22" t="n"/>
      <c r="H189" s="23" t="n"/>
      <c r="J189" s="23" t="n"/>
      <c r="L189" s="22" t="n"/>
    </row>
    <row r="190">
      <c r="A190" s="22" t="n"/>
      <c r="B190" s="22" t="n"/>
      <c r="C190" s="22" t="n"/>
      <c r="E190" s="22" t="n"/>
      <c r="F190" s="22" t="n"/>
      <c r="G190" s="22" t="n"/>
      <c r="H190" s="23" t="n"/>
      <c r="J190" s="23" t="n"/>
      <c r="L190" s="22" t="n"/>
    </row>
    <row r="191">
      <c r="A191" s="22" t="n"/>
      <c r="B191" s="22" t="n"/>
      <c r="C191" s="22" t="n"/>
      <c r="E191" s="22" t="n"/>
      <c r="F191" s="22" t="n"/>
      <c r="G191" s="22" t="n"/>
      <c r="H191" s="23" t="n"/>
      <c r="J191" s="23" t="n"/>
      <c r="L191" s="22" t="n"/>
    </row>
    <row r="192">
      <c r="A192" s="22" t="n"/>
      <c r="B192" s="22" t="n"/>
      <c r="C192" s="22" t="n"/>
      <c r="E192" s="22" t="n"/>
      <c r="F192" s="22" t="n"/>
      <c r="G192" s="22" t="n"/>
      <c r="H192" s="23" t="n"/>
      <c r="J192" s="23" t="n"/>
      <c r="L192" s="22" t="n"/>
    </row>
    <row r="193">
      <c r="A193" s="22" t="n"/>
      <c r="B193" s="22" t="n"/>
      <c r="C193" s="22" t="n"/>
      <c r="E193" s="22" t="n"/>
      <c r="F193" s="22" t="n"/>
      <c r="G193" s="22" t="n"/>
      <c r="H193" s="23" t="n"/>
      <c r="J193" s="23" t="n"/>
      <c r="L193" s="22" t="n"/>
    </row>
    <row r="194">
      <c r="A194" s="22" t="n"/>
      <c r="B194" s="22" t="n"/>
      <c r="C194" s="22" t="n"/>
      <c r="E194" s="22" t="n"/>
      <c r="F194" s="22" t="n"/>
      <c r="G194" s="22" t="n"/>
      <c r="H194" s="23" t="n"/>
      <c r="J194" s="23" t="n"/>
      <c r="L194" s="22" t="n"/>
    </row>
    <row r="195">
      <c r="A195" s="22" t="n"/>
      <c r="B195" s="22" t="n"/>
      <c r="C195" s="22" t="n"/>
      <c r="E195" s="22" t="n"/>
      <c r="F195" s="22" t="n"/>
      <c r="G195" s="22" t="n"/>
      <c r="H195" s="23" t="n"/>
      <c r="J195" s="23" t="n"/>
      <c r="L195" s="22" t="n"/>
    </row>
    <row r="196">
      <c r="A196" s="22" t="n"/>
      <c r="B196" s="22" t="n"/>
      <c r="C196" s="22" t="n"/>
      <c r="E196" s="22" t="n"/>
      <c r="F196" s="22" t="n"/>
      <c r="G196" s="22" t="n"/>
      <c r="H196" s="23" t="n"/>
      <c r="J196" s="23" t="n"/>
      <c r="L196" s="22" t="n"/>
    </row>
    <row r="197">
      <c r="A197" s="22" t="n"/>
      <c r="B197" s="22" t="n"/>
      <c r="C197" s="22" t="n"/>
      <c r="E197" s="22" t="n"/>
      <c r="F197" s="22" t="n"/>
      <c r="G197" s="22" t="n"/>
      <c r="H197" s="23" t="n"/>
      <c r="J197" s="23" t="n"/>
      <c r="L197" s="22" t="n"/>
    </row>
    <row r="198">
      <c r="A198" s="22" t="n"/>
      <c r="B198" s="22" t="n"/>
      <c r="C198" s="22" t="n"/>
      <c r="E198" s="22" t="n"/>
      <c r="F198" s="22" t="n"/>
      <c r="G198" s="22" t="n"/>
      <c r="H198" s="23" t="n"/>
      <c r="J198" s="23" t="n"/>
      <c r="L198" s="22" t="n"/>
    </row>
    <row r="199">
      <c r="A199" s="22" t="n"/>
      <c r="B199" s="22" t="n"/>
      <c r="C199" s="22" t="n"/>
      <c r="E199" s="22" t="n"/>
      <c r="F199" s="22" t="n"/>
      <c r="G199" s="22" t="n"/>
      <c r="H199" s="23" t="n"/>
      <c r="J199" s="23" t="n"/>
      <c r="L199" s="22" t="n"/>
    </row>
  </sheetData>
  <dataValidations count="2">
    <dataValidation sqref="D2:D1000" showDropDown="0" showInputMessage="0" showErrorMessage="0" allowBlank="1" errorTitle="Not in list" error="Pick a value from the list" type="list">
      <formula1>"Failed QC,Not received,Other"</formula1>
    </dataValidation>
    <dataValidation sqref="I2:I1000" showDropDown="0" showInputMessage="0" showErrorMessage="0" allowBlank="1" errorTitle="Not in list" error="Pick a value from the list" type="list">
      <formula1>"Y,N"</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4"/>
  <sheetViews>
    <sheetView zoomScale="110" workbookViewId="0">
      <pane xSplit="1" ySplit="1" topLeftCell="B2" activePane="bottomRight" state="frozen"/>
      <selection pane="topRight"/>
      <selection pane="bottomLeft"/>
      <selection pane="bottomRight" activeCell="A1" sqref="A1"/>
    </sheetView>
  </sheetViews>
  <sheetFormatPr baseColWidth="8" defaultRowHeight="15"/>
  <cols>
    <col width="16.2" customWidth="1" min="1" max="1"/>
    <col width="24" customWidth="1" min="2" max="2"/>
    <col width="22" customWidth="1" min="3" max="3"/>
    <col width="15.1" customWidth="1" min="4" max="4"/>
    <col width="9.600000000000001" customWidth="1" min="5" max="5"/>
    <col width="14" customWidth="1" min="6" max="6"/>
    <col width="26" customWidth="1" min="7" max="7"/>
    <col width="80" customWidth="1" min="8" max="8"/>
  </cols>
  <sheetData>
    <row r="1" ht="24" customHeight="1">
      <c r="A1" s="16" t="inlineStr">
        <is>
          <t>Condition_ID</t>
        </is>
      </c>
      <c r="B1" s="16" t="inlineStr">
        <is>
          <t>Display_Name</t>
        </is>
      </c>
      <c r="C1" s="16" t="inlineStr">
        <is>
          <t>Gene_Marker</t>
        </is>
      </c>
      <c r="D1" s="16" t="inlineStr">
        <is>
          <t>Show_On_Web</t>
        </is>
      </c>
      <c r="E1" s="16" t="inlineStr">
        <is>
          <t>Active</t>
        </is>
      </c>
      <c r="F1" s="16" t="inlineStr">
        <is>
          <t>Sort_Order</t>
        </is>
      </c>
      <c r="G1" s="16" t="inlineStr">
        <is>
          <t>Call_Is</t>
        </is>
      </c>
      <c r="H1" s="16" t="inlineStr">
        <is>
          <t>Explanation</t>
        </is>
      </c>
    </row>
    <row r="2">
      <c r="A2" s="17" t="inlineStr">
        <is>
          <t>SCRAPIE</t>
        </is>
      </c>
      <c r="B2" s="17" t="inlineStr">
        <is>
          <t>Scrapie susceptibility</t>
        </is>
      </c>
      <c r="C2" s="17" t="inlineStr">
        <is>
          <t>PRNP (codons 136, 154, 171)</t>
        </is>
      </c>
      <c r="D2" s="17" t="inlineStr">
        <is>
          <t>Y</t>
        </is>
      </c>
      <c r="E2" s="17" t="inlineStr">
        <is>
          <t>Y</t>
        </is>
      </c>
      <c r="F2" s="17" t="n">
        <v>1</v>
      </c>
      <c r="G2" s="17" t="inlineStr">
        <is>
          <t>Codon 171 pair (RR, QR, HR, QQ)</t>
        </is>
      </c>
      <c r="H2" s="15" t="inlineStr">
        <is>
          <t>Shown as codons 136, 154 and 171 for each copy (for example ARR/ARQ). Codon 171 is most significant and used most commonly: RR animals are the least susceptible to scrapie, QR carry one susceptible copy, and QQ animals are most susceptible.</t>
        </is>
      </c>
    </row>
    <row r="3">
      <c r="A3" s="17" t="inlineStr">
        <is>
          <t>OPP</t>
        </is>
      </c>
      <c r="B3" s="17" t="inlineStr">
        <is>
          <t>OPP susceptibility</t>
        </is>
      </c>
      <c r="C3" s="17" t="inlineStr">
        <is>
          <t>TMEM154</t>
        </is>
      </c>
      <c r="D3" s="17" t="inlineStr">
        <is>
          <t>Y</t>
        </is>
      </c>
      <c r="E3" s="17" t="inlineStr">
        <is>
          <t>Y</t>
        </is>
      </c>
      <c r="F3" s="17" t="n">
        <v>2</v>
      </c>
      <c r="G3" s="17" t="inlineStr">
        <is>
          <t>Diplotype (1/1, 1/3, ...)</t>
        </is>
      </c>
      <c r="H3" s="15" t="inlineStr">
        <is>
          <t>Two haplotypes per animal. Haplotype 1 is associated with lower susceptibility to ovine progressive pneumonia (OPP); haplotypes 2 and 3 with higher susceptibility. 1/1 animals are in the lowest-risk group.</t>
        </is>
      </c>
    </row>
    <row r="4">
      <c r="A4" s="17" t="inlineStr">
        <is>
          <t>COND3</t>
        </is>
      </c>
      <c r="B4" s="17" t="inlineStr">
        <is>
          <t>[Condition 3]</t>
        </is>
      </c>
      <c r="C4" s="17" t="inlineStr">
        <is>
          <t>[Gene or marker]</t>
        </is>
      </c>
      <c r="D4" s="17" t="inlineStr">
        <is>
          <t>N</t>
        </is>
      </c>
      <c r="E4" s="17" t="inlineStr">
        <is>
          <t>N</t>
        </is>
      </c>
      <c r="F4" s="17" t="n">
        <v>3</v>
      </c>
      <c r="G4" s="17" t="inlineStr">
        <is>
          <t>[What R writes as the call]</t>
        </is>
      </c>
      <c r="H4" s="15" t="inlineStr">
        <is>
          <t>[What the test shows and how to read each result.]</t>
        </is>
      </c>
    </row>
  </sheetData>
  <dataValidations count="2">
    <dataValidation sqref="D2:D1000" showDropDown="0" showInputMessage="0" showErrorMessage="0" allowBlank="1" errorTitle="Not in list" error="Pick a value from the list" type="list">
      <formula1>"Y,N"</formula1>
    </dataValidation>
    <dataValidation sqref="E2:E1000" showDropDown="0" showInputMessage="0" showErrorMessage="0" allowBlank="1" errorTitle="Not in list" error="Pick a value from the list" type="list">
      <formula1>"Y,N"</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99"/>
  <sheetViews>
    <sheetView zoomScale="110"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16.2" customWidth="1" min="2" max="2"/>
    <col width="10" customWidth="1" min="3" max="3"/>
    <col width="20" customWidth="1" min="4" max="4"/>
    <col width="11.8" customWidth="1" min="5" max="5"/>
    <col width="50" customWidth="1" min="6" max="6"/>
  </cols>
  <sheetData>
    <row r="1" ht="24" customHeight="1">
      <c r="A1" s="19" t="inlineStr">
        <is>
          <t>Key</t>
        </is>
      </c>
      <c r="B1" s="16" t="inlineStr">
        <is>
          <t>Condition_ID</t>
        </is>
      </c>
      <c r="C1" s="16" t="inlineStr">
        <is>
          <t>Call</t>
        </is>
      </c>
      <c r="D1" s="16" t="inlineStr">
        <is>
          <t>Result_Label</t>
        </is>
      </c>
      <c r="E1" s="16" t="inlineStr">
        <is>
          <t>Category</t>
        </is>
      </c>
      <c r="F1" s="16" t="inlineStr">
        <is>
          <t>Meaning</t>
        </is>
      </c>
    </row>
    <row r="2">
      <c r="A2" s="17">
        <f>B2&amp;"|"&amp;C2</f>
        <v/>
      </c>
      <c r="B2" s="17" t="inlineStr">
        <is>
          <t>SCRAPIE</t>
        </is>
      </c>
      <c r="C2" s="20" t="inlineStr">
        <is>
          <t>RR</t>
        </is>
      </c>
      <c r="D2" s="17" t="inlineStr">
        <is>
          <t>Least susceptible</t>
        </is>
      </c>
      <c r="E2" s="17" t="inlineStr">
        <is>
          <t>good</t>
        </is>
      </c>
      <c r="F2" s="17" t="inlineStr">
        <is>
          <t>Two resistant copies at codon 171.</t>
        </is>
      </c>
    </row>
    <row r="3">
      <c r="A3" s="17">
        <f>B3&amp;"|"&amp;C3</f>
        <v/>
      </c>
      <c r="B3" s="17" t="inlineStr">
        <is>
          <t>SCRAPIE</t>
        </is>
      </c>
      <c r="C3" s="20" t="inlineStr">
        <is>
          <t>QR</t>
        </is>
      </c>
      <c r="D3" s="17" t="inlineStr">
        <is>
          <t>Carries Q</t>
        </is>
      </c>
      <c r="E3" s="17" t="inlineStr">
        <is>
          <t>mid</t>
        </is>
      </c>
      <c r="F3" s="17" t="inlineStr">
        <is>
          <t>One resistant and one susceptible copy.</t>
        </is>
      </c>
    </row>
    <row r="4">
      <c r="A4" s="17">
        <f>B4&amp;"|"&amp;C4</f>
        <v/>
      </c>
      <c r="B4" s="17" t="inlineStr">
        <is>
          <t>SCRAPIE</t>
        </is>
      </c>
      <c r="C4" s="20" t="inlineStr">
        <is>
          <t>HR</t>
        </is>
      </c>
      <c r="D4" s="17" t="inlineStr">
        <is>
          <t>Carries H</t>
        </is>
      </c>
      <c r="E4" s="17" t="inlineStr">
        <is>
          <t>mid</t>
        </is>
      </c>
      <c r="F4" s="17" t="inlineStr">
        <is>
          <t>One resistant copy and one H copy.</t>
        </is>
      </c>
    </row>
    <row r="5">
      <c r="A5" s="17">
        <f>B5&amp;"|"&amp;C5</f>
        <v/>
      </c>
      <c r="B5" s="17" t="inlineStr">
        <is>
          <t>SCRAPIE</t>
        </is>
      </c>
      <c r="C5" s="20" t="inlineStr">
        <is>
          <t>QQ</t>
        </is>
      </c>
      <c r="D5" s="17" t="inlineStr">
        <is>
          <t>More susceptible</t>
        </is>
      </c>
      <c r="E5" s="17" t="inlineStr">
        <is>
          <t>bad</t>
        </is>
      </c>
      <c r="F5" s="17" t="inlineStr">
        <is>
          <t>Two susceptible copies.</t>
        </is>
      </c>
    </row>
    <row r="6">
      <c r="A6" s="17">
        <f>B6&amp;"|"&amp;C6</f>
        <v/>
      </c>
      <c r="B6" s="17" t="inlineStr">
        <is>
          <t>OPP</t>
        </is>
      </c>
      <c r="C6" s="20" t="inlineStr">
        <is>
          <t>1/1</t>
        </is>
      </c>
      <c r="D6" s="17" t="inlineStr">
        <is>
          <t>Lower risk</t>
        </is>
      </c>
      <c r="E6" s="17" t="inlineStr">
        <is>
          <t>good</t>
        </is>
      </c>
      <c r="F6" s="17" t="inlineStr">
        <is>
          <t>Two copies of haplotype 1.</t>
        </is>
      </c>
    </row>
    <row r="7">
      <c r="A7" s="17">
        <f>B7&amp;"|"&amp;C7</f>
        <v/>
      </c>
      <c r="B7" s="17" t="inlineStr">
        <is>
          <t>OPP</t>
        </is>
      </c>
      <c r="C7" s="20" t="inlineStr">
        <is>
          <t>1/2</t>
        </is>
      </c>
      <c r="D7" s="17" t="inlineStr">
        <is>
          <t>Moderate risk</t>
        </is>
      </c>
      <c r="E7" s="17" t="inlineStr">
        <is>
          <t>mid</t>
        </is>
      </c>
      <c r="F7" s="17" t="inlineStr">
        <is>
          <t>One copy of haplotype 1.</t>
        </is>
      </c>
    </row>
    <row r="8">
      <c r="A8" s="17">
        <f>B8&amp;"|"&amp;C8</f>
        <v/>
      </c>
      <c r="B8" s="17" t="inlineStr">
        <is>
          <t>OPP</t>
        </is>
      </c>
      <c r="C8" s="20" t="inlineStr">
        <is>
          <t>1/3</t>
        </is>
      </c>
      <c r="D8" s="17" t="inlineStr">
        <is>
          <t>Moderate risk</t>
        </is>
      </c>
      <c r="E8" s="17" t="inlineStr">
        <is>
          <t>mid</t>
        </is>
      </c>
      <c r="F8" s="17" t="inlineStr">
        <is>
          <t>One copy of haplotype 1.</t>
        </is>
      </c>
    </row>
    <row r="9">
      <c r="A9" s="17">
        <f>B9&amp;"|"&amp;C9</f>
        <v/>
      </c>
      <c r="B9" s="17" t="inlineStr">
        <is>
          <t>OPP</t>
        </is>
      </c>
      <c r="C9" s="20" t="inlineStr">
        <is>
          <t>2/2</t>
        </is>
      </c>
      <c r="D9" s="17" t="inlineStr">
        <is>
          <t>Higher risk</t>
        </is>
      </c>
      <c r="E9" s="17" t="inlineStr">
        <is>
          <t>bad</t>
        </is>
      </c>
      <c r="F9" s="17" t="inlineStr">
        <is>
          <t>No copies of haplotype 1.</t>
        </is>
      </c>
    </row>
    <row r="10">
      <c r="A10" s="17">
        <f>B10&amp;"|"&amp;C10</f>
        <v/>
      </c>
      <c r="B10" s="17" t="inlineStr">
        <is>
          <t>OPP</t>
        </is>
      </c>
      <c r="C10" s="20" t="inlineStr">
        <is>
          <t>2/3</t>
        </is>
      </c>
      <c r="D10" s="17" t="inlineStr">
        <is>
          <t>Higher risk</t>
        </is>
      </c>
      <c r="E10" s="17" t="inlineStr">
        <is>
          <t>bad</t>
        </is>
      </c>
      <c r="F10" s="17" t="inlineStr">
        <is>
          <t>No copies of haplotype 1.</t>
        </is>
      </c>
    </row>
    <row r="11">
      <c r="A11" s="17">
        <f>B11&amp;"|"&amp;C11</f>
        <v/>
      </c>
      <c r="B11" s="17" t="inlineStr">
        <is>
          <t>OPP</t>
        </is>
      </c>
      <c r="C11" s="20" t="inlineStr">
        <is>
          <t>3/3</t>
        </is>
      </c>
      <c r="D11" s="17" t="inlineStr">
        <is>
          <t>Higher risk</t>
        </is>
      </c>
      <c r="E11" s="17" t="inlineStr">
        <is>
          <t>bad</t>
        </is>
      </c>
      <c r="F11" s="17" t="inlineStr">
        <is>
          <t>No copies of haplotype 1.</t>
        </is>
      </c>
    </row>
    <row r="12">
      <c r="A12" s="17">
        <f>B12&amp;"|"&amp;C12</f>
        <v/>
      </c>
      <c r="B12" s="17" t="inlineStr">
        <is>
          <t>COND3</t>
        </is>
      </c>
      <c r="C12" s="20" t="inlineStr">
        <is>
          <t>[call]</t>
        </is>
      </c>
      <c r="D12" s="17" t="inlineStr">
        <is>
          <t>[Clear]</t>
        </is>
      </c>
      <c r="E12" s="17" t="inlineStr">
        <is>
          <t>good</t>
        </is>
      </c>
      <c r="F12" s="17" t="inlineStr">
        <is>
          <t>[ ]</t>
        </is>
      </c>
    </row>
    <row r="13">
      <c r="A13" s="17">
        <f>B13&amp;"|"&amp;C13</f>
        <v/>
      </c>
      <c r="B13" s="17" t="inlineStr">
        <is>
          <t>COND3</t>
        </is>
      </c>
      <c r="C13" s="20" t="inlineStr">
        <is>
          <t>[call]</t>
        </is>
      </c>
      <c r="D13" s="17" t="inlineStr">
        <is>
          <t>[Carrier]</t>
        </is>
      </c>
      <c r="E13" s="17" t="inlineStr">
        <is>
          <t>mid</t>
        </is>
      </c>
      <c r="F13" s="17" t="inlineStr">
        <is>
          <t>[ ]</t>
        </is>
      </c>
    </row>
    <row r="14">
      <c r="A14" s="17">
        <f>B14&amp;"|"&amp;C14</f>
        <v/>
      </c>
      <c r="B14" s="17" t="inlineStr">
        <is>
          <t>COND3</t>
        </is>
      </c>
      <c r="C14" s="20" t="inlineStr">
        <is>
          <t>[call]</t>
        </is>
      </c>
      <c r="D14" s="17" t="inlineStr">
        <is>
          <t>[Affected]</t>
        </is>
      </c>
      <c r="E14" s="17" t="inlineStr">
        <is>
          <t>bad</t>
        </is>
      </c>
      <c r="F14" s="17" t="inlineStr">
        <is>
          <t>[ ]</t>
        </is>
      </c>
    </row>
    <row r="15">
      <c r="C15" s="22" t="n"/>
    </row>
    <row r="16">
      <c r="C16" s="22" t="n"/>
    </row>
    <row r="17">
      <c r="C17" s="22" t="n"/>
    </row>
    <row r="18">
      <c r="C18" s="22" t="n"/>
    </row>
    <row r="19">
      <c r="C19" s="22" t="n"/>
    </row>
    <row r="20">
      <c r="C20" s="22" t="n"/>
    </row>
    <row r="21">
      <c r="C21" s="22" t="n"/>
    </row>
    <row r="22">
      <c r="C22" s="22" t="n"/>
    </row>
    <row r="23">
      <c r="C23" s="22" t="n"/>
    </row>
    <row r="24">
      <c r="C24" s="22" t="n"/>
    </row>
    <row r="25">
      <c r="C25" s="22" t="n"/>
    </row>
    <row r="26">
      <c r="C26" s="22" t="n"/>
    </row>
    <row r="27">
      <c r="C27" s="22" t="n"/>
    </row>
    <row r="28">
      <c r="C28" s="22" t="n"/>
    </row>
    <row r="29">
      <c r="C29" s="22" t="n"/>
    </row>
    <row r="30">
      <c r="C30" s="22" t="n"/>
    </row>
    <row r="31">
      <c r="C31" s="22" t="n"/>
    </row>
    <row r="32">
      <c r="C32" s="22" t="n"/>
    </row>
    <row r="33">
      <c r="C33" s="22" t="n"/>
    </row>
    <row r="34">
      <c r="C34" s="22" t="n"/>
    </row>
    <row r="35">
      <c r="C35" s="22" t="n"/>
    </row>
    <row r="36">
      <c r="C36" s="22" t="n"/>
    </row>
    <row r="37">
      <c r="C37" s="22" t="n"/>
    </row>
    <row r="38">
      <c r="C38" s="22" t="n"/>
    </row>
    <row r="39">
      <c r="C39" s="22" t="n"/>
    </row>
    <row r="40">
      <c r="C40" s="22" t="n"/>
    </row>
    <row r="41">
      <c r="C41" s="22" t="n"/>
    </row>
    <row r="42">
      <c r="C42" s="22" t="n"/>
    </row>
    <row r="43">
      <c r="C43" s="22" t="n"/>
    </row>
    <row r="44">
      <c r="C44" s="22" t="n"/>
    </row>
    <row r="45">
      <c r="C45" s="22" t="n"/>
    </row>
    <row r="46">
      <c r="C46" s="22" t="n"/>
    </row>
    <row r="47">
      <c r="C47" s="22" t="n"/>
    </row>
    <row r="48">
      <c r="C48" s="22" t="n"/>
    </row>
    <row r="49">
      <c r="C49" s="22" t="n"/>
    </row>
    <row r="50">
      <c r="C50" s="22" t="n"/>
    </row>
    <row r="51">
      <c r="C51" s="22" t="n"/>
    </row>
    <row r="52">
      <c r="C52" s="22" t="n"/>
    </row>
    <row r="53">
      <c r="C53" s="22" t="n"/>
    </row>
    <row r="54">
      <c r="C54" s="22" t="n"/>
    </row>
    <row r="55">
      <c r="C55" s="22" t="n"/>
    </row>
    <row r="56">
      <c r="C56" s="22" t="n"/>
    </row>
    <row r="57">
      <c r="C57" s="22" t="n"/>
    </row>
    <row r="58">
      <c r="C58" s="22" t="n"/>
    </row>
    <row r="59">
      <c r="C59" s="22" t="n"/>
    </row>
    <row r="60">
      <c r="C60" s="22" t="n"/>
    </row>
    <row r="61">
      <c r="C61" s="22" t="n"/>
    </row>
    <row r="62">
      <c r="C62" s="22" t="n"/>
    </row>
    <row r="63">
      <c r="C63" s="22" t="n"/>
    </row>
    <row r="64">
      <c r="C64" s="22" t="n"/>
    </row>
    <row r="65">
      <c r="C65" s="22" t="n"/>
    </row>
    <row r="66">
      <c r="C66" s="22" t="n"/>
    </row>
    <row r="67">
      <c r="C67" s="22" t="n"/>
    </row>
    <row r="68">
      <c r="C68" s="22" t="n"/>
    </row>
    <row r="69">
      <c r="C69" s="22" t="n"/>
    </row>
    <row r="70">
      <c r="C70" s="22" t="n"/>
    </row>
    <row r="71">
      <c r="C71" s="22" t="n"/>
    </row>
    <row r="72">
      <c r="C72" s="22" t="n"/>
    </row>
    <row r="73">
      <c r="C73" s="22" t="n"/>
    </row>
    <row r="74">
      <c r="C74" s="22" t="n"/>
    </row>
    <row r="75">
      <c r="C75" s="22" t="n"/>
    </row>
    <row r="76">
      <c r="C76" s="22" t="n"/>
    </row>
    <row r="77">
      <c r="C77" s="22" t="n"/>
    </row>
    <row r="78">
      <c r="C78" s="22" t="n"/>
    </row>
    <row r="79">
      <c r="C79" s="22" t="n"/>
    </row>
    <row r="80">
      <c r="C80" s="22" t="n"/>
    </row>
    <row r="81">
      <c r="C81" s="22" t="n"/>
    </row>
    <row r="82">
      <c r="C82" s="22" t="n"/>
    </row>
    <row r="83">
      <c r="C83" s="22" t="n"/>
    </row>
    <row r="84">
      <c r="C84" s="22" t="n"/>
    </row>
    <row r="85">
      <c r="C85" s="22" t="n"/>
    </row>
    <row r="86">
      <c r="C86" s="22" t="n"/>
    </row>
    <row r="87">
      <c r="C87" s="22" t="n"/>
    </row>
    <row r="88">
      <c r="C88" s="22" t="n"/>
    </row>
    <row r="89">
      <c r="C89" s="22" t="n"/>
    </row>
    <row r="90">
      <c r="C90" s="22" t="n"/>
    </row>
    <row r="91">
      <c r="C91" s="22" t="n"/>
    </row>
    <row r="92">
      <c r="C92" s="22" t="n"/>
    </row>
    <row r="93">
      <c r="C93" s="22" t="n"/>
    </row>
    <row r="94">
      <c r="C94" s="22" t="n"/>
    </row>
    <row r="95">
      <c r="C95" s="22" t="n"/>
    </row>
    <row r="96">
      <c r="C96" s="22" t="n"/>
    </row>
    <row r="97">
      <c r="C97" s="22" t="n"/>
    </row>
    <row r="98">
      <c r="C98" s="22" t="n"/>
    </row>
    <row r="99">
      <c r="C99" s="22" t="n"/>
    </row>
    <row r="100">
      <c r="C100" s="22" t="n"/>
    </row>
    <row r="101">
      <c r="C101" s="22" t="n"/>
    </row>
    <row r="102">
      <c r="C102" s="22" t="n"/>
    </row>
    <row r="103">
      <c r="C103" s="22" t="n"/>
    </row>
    <row r="104">
      <c r="C104" s="22" t="n"/>
    </row>
    <row r="105">
      <c r="C105" s="22" t="n"/>
    </row>
    <row r="106">
      <c r="C106" s="22" t="n"/>
    </row>
    <row r="107">
      <c r="C107" s="22" t="n"/>
    </row>
    <row r="108">
      <c r="C108" s="22" t="n"/>
    </row>
    <row r="109">
      <c r="C109" s="22" t="n"/>
    </row>
    <row r="110">
      <c r="C110" s="22" t="n"/>
    </row>
    <row r="111">
      <c r="C111" s="22" t="n"/>
    </row>
    <row r="112">
      <c r="C112" s="22" t="n"/>
    </row>
    <row r="113">
      <c r="C113" s="22" t="n"/>
    </row>
    <row r="114">
      <c r="C114" s="22" t="n"/>
    </row>
    <row r="115">
      <c r="C115" s="22" t="n"/>
    </row>
    <row r="116">
      <c r="C116" s="22" t="n"/>
    </row>
    <row r="117">
      <c r="C117" s="22" t="n"/>
    </row>
    <row r="118">
      <c r="C118" s="22" t="n"/>
    </row>
    <row r="119">
      <c r="C119" s="22" t="n"/>
    </row>
    <row r="120">
      <c r="C120" s="22" t="n"/>
    </row>
    <row r="121">
      <c r="C121" s="22" t="n"/>
    </row>
    <row r="122">
      <c r="C122" s="22" t="n"/>
    </row>
    <row r="123">
      <c r="C123" s="22" t="n"/>
    </row>
    <row r="124">
      <c r="C124" s="22" t="n"/>
    </row>
    <row r="125">
      <c r="C125" s="22" t="n"/>
    </row>
    <row r="126">
      <c r="C126" s="22" t="n"/>
    </row>
    <row r="127">
      <c r="C127" s="22" t="n"/>
    </row>
    <row r="128">
      <c r="C128" s="22" t="n"/>
    </row>
    <row r="129">
      <c r="C129" s="22" t="n"/>
    </row>
    <row r="130">
      <c r="C130" s="22" t="n"/>
    </row>
    <row r="131">
      <c r="C131" s="22" t="n"/>
    </row>
    <row r="132">
      <c r="C132" s="22" t="n"/>
    </row>
    <row r="133">
      <c r="C133" s="22" t="n"/>
    </row>
    <row r="134">
      <c r="C134" s="22" t="n"/>
    </row>
    <row r="135">
      <c r="C135" s="22" t="n"/>
    </row>
    <row r="136">
      <c r="C136" s="22" t="n"/>
    </row>
    <row r="137">
      <c r="C137" s="22" t="n"/>
    </row>
    <row r="138">
      <c r="C138" s="22" t="n"/>
    </row>
    <row r="139">
      <c r="C139" s="22" t="n"/>
    </row>
    <row r="140">
      <c r="C140" s="22" t="n"/>
    </row>
    <row r="141">
      <c r="C141" s="22" t="n"/>
    </row>
    <row r="142">
      <c r="C142" s="22" t="n"/>
    </row>
    <row r="143">
      <c r="C143" s="22" t="n"/>
    </row>
    <row r="144">
      <c r="C144" s="22" t="n"/>
    </row>
    <row r="145">
      <c r="C145" s="22" t="n"/>
    </row>
    <row r="146">
      <c r="C146" s="22" t="n"/>
    </row>
    <row r="147">
      <c r="C147" s="22" t="n"/>
    </row>
    <row r="148">
      <c r="C148" s="22" t="n"/>
    </row>
    <row r="149">
      <c r="C149" s="22" t="n"/>
    </row>
    <row r="150">
      <c r="C150" s="22" t="n"/>
    </row>
    <row r="151">
      <c r="C151" s="22" t="n"/>
    </row>
    <row r="152">
      <c r="C152" s="22" t="n"/>
    </row>
    <row r="153">
      <c r="C153" s="22" t="n"/>
    </row>
    <row r="154">
      <c r="C154" s="22" t="n"/>
    </row>
    <row r="155">
      <c r="C155" s="22" t="n"/>
    </row>
    <row r="156">
      <c r="C156" s="22" t="n"/>
    </row>
    <row r="157">
      <c r="C157" s="22" t="n"/>
    </row>
    <row r="158">
      <c r="C158" s="22" t="n"/>
    </row>
    <row r="159">
      <c r="C159" s="22" t="n"/>
    </row>
    <row r="160">
      <c r="C160" s="22" t="n"/>
    </row>
    <row r="161">
      <c r="C161" s="22" t="n"/>
    </row>
    <row r="162">
      <c r="C162" s="22" t="n"/>
    </row>
    <row r="163">
      <c r="C163" s="22" t="n"/>
    </row>
    <row r="164">
      <c r="C164" s="22" t="n"/>
    </row>
    <row r="165">
      <c r="C165" s="22" t="n"/>
    </row>
    <row r="166">
      <c r="C166" s="22" t="n"/>
    </row>
    <row r="167">
      <c r="C167" s="22" t="n"/>
    </row>
    <row r="168">
      <c r="C168" s="22" t="n"/>
    </row>
    <row r="169">
      <c r="C169" s="22" t="n"/>
    </row>
    <row r="170">
      <c r="C170" s="22" t="n"/>
    </row>
    <row r="171">
      <c r="C171" s="22" t="n"/>
    </row>
    <row r="172">
      <c r="C172" s="22" t="n"/>
    </row>
    <row r="173">
      <c r="C173" s="22" t="n"/>
    </row>
    <row r="174">
      <c r="C174" s="22" t="n"/>
    </row>
    <row r="175">
      <c r="C175" s="22" t="n"/>
    </row>
    <row r="176">
      <c r="C176" s="22" t="n"/>
    </row>
    <row r="177">
      <c r="C177" s="22" t="n"/>
    </row>
    <row r="178">
      <c r="C178" s="22" t="n"/>
    </row>
    <row r="179">
      <c r="C179" s="22" t="n"/>
    </row>
    <row r="180">
      <c r="C180" s="22" t="n"/>
    </row>
    <row r="181">
      <c r="C181" s="22" t="n"/>
    </row>
    <row r="182">
      <c r="C182" s="22" t="n"/>
    </row>
    <row r="183">
      <c r="C183" s="22" t="n"/>
    </row>
    <row r="184">
      <c r="C184" s="22" t="n"/>
    </row>
    <row r="185">
      <c r="C185" s="22" t="n"/>
    </row>
    <row r="186">
      <c r="C186" s="22" t="n"/>
    </row>
    <row r="187">
      <c r="C187" s="22" t="n"/>
    </row>
    <row r="188">
      <c r="C188" s="22" t="n"/>
    </row>
    <row r="189">
      <c r="C189" s="22" t="n"/>
    </row>
    <row r="190">
      <c r="C190" s="22" t="n"/>
    </row>
    <row r="191">
      <c r="C191" s="22" t="n"/>
    </row>
    <row r="192">
      <c r="C192" s="22" t="n"/>
    </row>
    <row r="193">
      <c r="C193" s="22" t="n"/>
    </row>
    <row r="194">
      <c r="C194" s="22" t="n"/>
    </row>
    <row r="195">
      <c r="C195" s="22" t="n"/>
    </row>
    <row r="196">
      <c r="C196" s="22" t="n"/>
    </row>
    <row r="197">
      <c r="C197" s="22" t="n"/>
    </row>
    <row r="198">
      <c r="C198" s="22" t="n"/>
    </row>
    <row r="199">
      <c r="C199" s="22" t="n"/>
    </row>
  </sheetData>
  <conditionalFormatting sqref="E2:E1000">
    <cfRule type="expression" priority="1" dxfId="0">
      <formula>$E2="good"</formula>
    </cfRule>
    <cfRule type="expression" priority="2" dxfId="2">
      <formula>$E2="mid"</formula>
    </cfRule>
    <cfRule type="expression" priority="3" dxfId="1">
      <formula>$E2="bad"</formula>
    </cfRule>
  </conditionalFormatting>
  <dataValidations count="1">
    <dataValidation sqref="E2:E1000" showDropDown="0" showInputMessage="0" showErrorMessage="0" allowBlank="1" errorTitle="Not in list" error="Pick a value from the list" type="list">
      <formula1>"good,mid,bad"</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99"/>
  <sheetViews>
    <sheetView zoomScale="110" workbookViewId="0">
      <pane xSplit="1" ySplit="1" topLeftCell="B2" activePane="bottomRight" state="frozen"/>
      <selection pane="topRight"/>
      <selection pane="bottomLeft"/>
      <selection pane="bottomRight" activeCell="A1" sqref="A1"/>
    </sheetView>
  </sheetViews>
  <sheetFormatPr baseColWidth="8" defaultRowHeight="15"/>
  <cols>
    <col width="17" customWidth="1" min="1" max="1"/>
    <col width="17.3" customWidth="1" min="2" max="2"/>
    <col width="16.2" customWidth="1" min="3" max="3"/>
    <col width="12" customWidth="1" min="4" max="4"/>
    <col width="8" customWidth="1" min="5" max="5"/>
    <col width="18" customWidth="1" min="6" max="6"/>
    <col width="11.8" customWidth="1" min="7" max="7"/>
    <col width="11" customWidth="1" min="8" max="8"/>
    <col width="12" customWidth="1" min="9" max="9"/>
    <col width="11.8" customWidth="1" min="10" max="10"/>
  </cols>
  <sheetData>
    <row r="1" ht="24" customHeight="1">
      <c r="A1" s="24" t="inlineStr">
        <is>
          <t>Animal_Key</t>
        </is>
      </c>
      <c r="B1" s="24" t="inlineStr">
        <is>
          <t>Submission_ID</t>
        </is>
      </c>
      <c r="C1" s="24" t="inlineStr">
        <is>
          <t>Condition_ID</t>
        </is>
      </c>
      <c r="D1" s="24" t="inlineStr">
        <is>
          <t>Genotype</t>
        </is>
      </c>
      <c r="E1" s="24" t="inlineStr">
        <is>
          <t>Call</t>
        </is>
      </c>
      <c r="F1" s="24" t="inlineStr">
        <is>
          <t>Result_Label</t>
        </is>
      </c>
      <c r="G1" s="24" t="inlineStr">
        <is>
          <t>Category</t>
        </is>
      </c>
      <c r="H1" s="24" t="inlineStr">
        <is>
          <t>Batch</t>
        </is>
      </c>
      <c r="I1" s="24" t="inlineStr">
        <is>
          <t>Run_Date</t>
        </is>
      </c>
      <c r="J1" s="16" t="inlineStr">
        <is>
          <t>Released</t>
        </is>
      </c>
    </row>
    <row r="2">
      <c r="A2" s="20" t="inlineStr">
        <is>
          <t>P003-01-26001</t>
        </is>
      </c>
      <c r="B2" s="20" t="inlineStr">
        <is>
          <t>P003-01</t>
        </is>
      </c>
      <c r="C2" s="17" t="inlineStr">
        <is>
          <t>SCRAPIE</t>
        </is>
      </c>
      <c r="D2" s="17" t="inlineStr">
        <is>
          <t>ARR/ARQ</t>
        </is>
      </c>
      <c r="E2" s="20" t="inlineStr">
        <is>
          <t>QR</t>
        </is>
      </c>
      <c r="F2" s="17" t="inlineStr">
        <is>
          <t>Carries Q</t>
        </is>
      </c>
      <c r="G2" s="17" t="inlineStr">
        <is>
          <t>mid</t>
        </is>
      </c>
      <c r="H2" s="20" t="inlineStr">
        <is>
          <t>B2026-01</t>
        </is>
      </c>
      <c r="I2" s="21" t="n">
        <v>46319</v>
      </c>
      <c r="J2" s="17" t="inlineStr">
        <is>
          <t>Y</t>
        </is>
      </c>
    </row>
    <row r="3">
      <c r="A3" s="20" t="inlineStr">
        <is>
          <t>P003-01-26001</t>
        </is>
      </c>
      <c r="B3" s="20" t="inlineStr">
        <is>
          <t>P003-01</t>
        </is>
      </c>
      <c r="C3" s="17" t="inlineStr">
        <is>
          <t>OPP</t>
        </is>
      </c>
      <c r="D3" s="17" t="inlineStr">
        <is>
          <t>1/1</t>
        </is>
      </c>
      <c r="E3" s="20" t="inlineStr">
        <is>
          <t>1/1</t>
        </is>
      </c>
      <c r="F3" s="17" t="inlineStr">
        <is>
          <t>Lower risk</t>
        </is>
      </c>
      <c r="G3" s="17" t="inlineStr">
        <is>
          <t>good</t>
        </is>
      </c>
      <c r="H3" s="20" t="inlineStr">
        <is>
          <t>B2026-01</t>
        </is>
      </c>
      <c r="I3" s="21" t="n">
        <v>46319</v>
      </c>
      <c r="J3" s="17" t="inlineStr">
        <is>
          <t>Y</t>
        </is>
      </c>
    </row>
    <row r="4">
      <c r="A4" s="20" t="inlineStr">
        <is>
          <t>P003-01-26002</t>
        </is>
      </c>
      <c r="B4" s="20" t="inlineStr">
        <is>
          <t>P003-01</t>
        </is>
      </c>
      <c r="C4" s="17" t="inlineStr">
        <is>
          <t>SCRAPIE</t>
        </is>
      </c>
      <c r="D4" s="17" t="inlineStr">
        <is>
          <t>ARR/ARR</t>
        </is>
      </c>
      <c r="E4" s="20" t="inlineStr">
        <is>
          <t>RR</t>
        </is>
      </c>
      <c r="F4" s="17" t="inlineStr">
        <is>
          <t>Least susceptible</t>
        </is>
      </c>
      <c r="G4" s="17" t="inlineStr">
        <is>
          <t>good</t>
        </is>
      </c>
      <c r="H4" s="20" t="inlineStr">
        <is>
          <t>B2026-01</t>
        </is>
      </c>
      <c r="I4" s="21" t="n">
        <v>46319</v>
      </c>
      <c r="J4" s="17" t="inlineStr">
        <is>
          <t>Y</t>
        </is>
      </c>
    </row>
    <row r="5">
      <c r="A5" s="20" t="inlineStr">
        <is>
          <t>P003-01-26002</t>
        </is>
      </c>
      <c r="B5" s="20" t="inlineStr">
        <is>
          <t>P003-01</t>
        </is>
      </c>
      <c r="C5" s="17" t="inlineStr">
        <is>
          <t>OPP</t>
        </is>
      </c>
      <c r="D5" s="17" t="inlineStr">
        <is>
          <t>2/3</t>
        </is>
      </c>
      <c r="E5" s="20" t="inlineStr">
        <is>
          <t>2/3</t>
        </is>
      </c>
      <c r="F5" s="17" t="inlineStr">
        <is>
          <t>Higher risk</t>
        </is>
      </c>
      <c r="G5" s="17" t="inlineStr">
        <is>
          <t>bad</t>
        </is>
      </c>
      <c r="H5" s="20" t="inlineStr">
        <is>
          <t>B2026-01</t>
        </is>
      </c>
      <c r="I5" s="21" t="n">
        <v>46319</v>
      </c>
      <c r="J5" s="17" t="inlineStr">
        <is>
          <t>Y</t>
        </is>
      </c>
    </row>
    <row r="6">
      <c r="A6" s="20" t="inlineStr">
        <is>
          <t>P003-01-26003</t>
        </is>
      </c>
      <c r="B6" s="20" t="inlineStr">
        <is>
          <t>P003-01</t>
        </is>
      </c>
      <c r="C6" s="17" t="inlineStr">
        <is>
          <t>SCRAPIE</t>
        </is>
      </c>
      <c r="D6" s="17" t="inlineStr">
        <is>
          <t>ARR/ARQ</t>
        </is>
      </c>
      <c r="E6" s="20" t="inlineStr">
        <is>
          <t>QR</t>
        </is>
      </c>
      <c r="F6" s="17" t="inlineStr">
        <is>
          <t>Carries Q</t>
        </is>
      </c>
      <c r="G6" s="17" t="inlineStr">
        <is>
          <t>mid</t>
        </is>
      </c>
      <c r="H6" s="20" t="inlineStr">
        <is>
          <t>B2026-01</t>
        </is>
      </c>
      <c r="I6" s="21" t="n">
        <v>46319</v>
      </c>
      <c r="J6" s="17" t="inlineStr">
        <is>
          <t>Y</t>
        </is>
      </c>
    </row>
    <row r="7">
      <c r="A7" s="20" t="inlineStr">
        <is>
          <t>P003-01-26003</t>
        </is>
      </c>
      <c r="B7" s="20" t="inlineStr">
        <is>
          <t>P003-01</t>
        </is>
      </c>
      <c r="C7" s="17" t="inlineStr">
        <is>
          <t>OPP</t>
        </is>
      </c>
      <c r="D7" s="17" t="inlineStr">
        <is>
          <t>1/1</t>
        </is>
      </c>
      <c r="E7" s="20" t="inlineStr">
        <is>
          <t>1/1</t>
        </is>
      </c>
      <c r="F7" s="17" t="inlineStr">
        <is>
          <t>Lower risk</t>
        </is>
      </c>
      <c r="G7" s="17" t="inlineStr">
        <is>
          <t>good</t>
        </is>
      </c>
      <c r="H7" s="20" t="inlineStr">
        <is>
          <t>B2026-01</t>
        </is>
      </c>
      <c r="I7" s="21" t="n">
        <v>46319</v>
      </c>
      <c r="J7" s="17" t="inlineStr">
        <is>
          <t>Y</t>
        </is>
      </c>
    </row>
    <row r="8">
      <c r="A8" s="20" t="inlineStr">
        <is>
          <t>P003-01-26004</t>
        </is>
      </c>
      <c r="B8" s="20" t="inlineStr">
        <is>
          <t>P003-01</t>
        </is>
      </c>
      <c r="C8" s="17" t="inlineStr">
        <is>
          <t>SCRAPIE</t>
        </is>
      </c>
      <c r="D8" s="17" t="inlineStr">
        <is>
          <t>ARR/ARH</t>
        </is>
      </c>
      <c r="E8" s="20" t="inlineStr">
        <is>
          <t>HR</t>
        </is>
      </c>
      <c r="F8" s="17" t="inlineStr">
        <is>
          <t>Carries H</t>
        </is>
      </c>
      <c r="G8" s="17" t="inlineStr">
        <is>
          <t>mid</t>
        </is>
      </c>
      <c r="H8" s="20" t="inlineStr">
        <is>
          <t>B2026-01</t>
        </is>
      </c>
      <c r="I8" s="21" t="n">
        <v>46319</v>
      </c>
      <c r="J8" s="17" t="inlineStr">
        <is>
          <t>Y</t>
        </is>
      </c>
    </row>
    <row r="9">
      <c r="A9" s="20" t="inlineStr">
        <is>
          <t>P003-01-26004</t>
        </is>
      </c>
      <c r="B9" s="20" t="inlineStr">
        <is>
          <t>P003-01</t>
        </is>
      </c>
      <c r="C9" s="17" t="inlineStr">
        <is>
          <t>OPP</t>
        </is>
      </c>
      <c r="D9" s="17" t="inlineStr">
        <is>
          <t>1/3</t>
        </is>
      </c>
      <c r="E9" s="20" t="inlineStr">
        <is>
          <t>1/3</t>
        </is>
      </c>
      <c r="F9" s="17" t="inlineStr">
        <is>
          <t>Moderate risk</t>
        </is>
      </c>
      <c r="G9" s="17" t="inlineStr">
        <is>
          <t>mid</t>
        </is>
      </c>
      <c r="H9" s="20" t="inlineStr">
        <is>
          <t>B2026-01</t>
        </is>
      </c>
      <c r="I9" s="21" t="n">
        <v>46319</v>
      </c>
      <c r="J9" s="17" t="inlineStr">
        <is>
          <t>Y</t>
        </is>
      </c>
    </row>
    <row r="10">
      <c r="A10" s="20" t="inlineStr">
        <is>
          <t>P003-01-26005</t>
        </is>
      </c>
      <c r="B10" s="20" t="inlineStr">
        <is>
          <t>P003-01</t>
        </is>
      </c>
      <c r="C10" s="17" t="inlineStr">
        <is>
          <t>SCRAPIE</t>
        </is>
      </c>
      <c r="D10" s="17" t="inlineStr">
        <is>
          <t>ARR/ARR</t>
        </is>
      </c>
      <c r="E10" s="20" t="inlineStr">
        <is>
          <t>RR</t>
        </is>
      </c>
      <c r="F10" s="17" t="inlineStr">
        <is>
          <t>Least susceptible</t>
        </is>
      </c>
      <c r="G10" s="17" t="inlineStr">
        <is>
          <t>good</t>
        </is>
      </c>
      <c r="H10" s="20" t="inlineStr">
        <is>
          <t>B2026-01</t>
        </is>
      </c>
      <c r="I10" s="21" t="n">
        <v>46319</v>
      </c>
      <c r="J10" s="17" t="inlineStr">
        <is>
          <t>Y</t>
        </is>
      </c>
    </row>
    <row r="11">
      <c r="A11" s="20" t="inlineStr">
        <is>
          <t>P003-01-26005</t>
        </is>
      </c>
      <c r="B11" s="20" t="inlineStr">
        <is>
          <t>P003-01</t>
        </is>
      </c>
      <c r="C11" s="17" t="inlineStr">
        <is>
          <t>OPP</t>
        </is>
      </c>
      <c r="D11" s="17" t="inlineStr">
        <is>
          <t>3/3</t>
        </is>
      </c>
      <c r="E11" s="20" t="inlineStr">
        <is>
          <t>3/3</t>
        </is>
      </c>
      <c r="F11" s="17" t="inlineStr">
        <is>
          <t>Higher risk</t>
        </is>
      </c>
      <c r="G11" s="17" t="inlineStr">
        <is>
          <t>bad</t>
        </is>
      </c>
      <c r="H11" s="20" t="inlineStr">
        <is>
          <t>B2026-01</t>
        </is>
      </c>
      <c r="I11" s="21" t="n">
        <v>46319</v>
      </c>
      <c r="J11" s="17" t="inlineStr">
        <is>
          <t>Y</t>
        </is>
      </c>
    </row>
    <row r="12">
      <c r="A12" s="20" t="inlineStr">
        <is>
          <t>P003-01-26006</t>
        </is>
      </c>
      <c r="B12" s="20" t="inlineStr">
        <is>
          <t>P003-01</t>
        </is>
      </c>
      <c r="C12" s="17" t="inlineStr">
        <is>
          <t>SCRAPIE</t>
        </is>
      </c>
      <c r="D12" s="17" t="inlineStr">
        <is>
          <t>ARR/ARR</t>
        </is>
      </c>
      <c r="E12" s="20" t="inlineStr">
        <is>
          <t>RR</t>
        </is>
      </c>
      <c r="F12" s="17" t="inlineStr">
        <is>
          <t>Least susceptible</t>
        </is>
      </c>
      <c r="G12" s="17" t="inlineStr">
        <is>
          <t>good</t>
        </is>
      </c>
      <c r="H12" s="20" t="inlineStr">
        <is>
          <t>B2026-01</t>
        </is>
      </c>
      <c r="I12" s="21" t="n">
        <v>46319</v>
      </c>
      <c r="J12" s="17" t="inlineStr">
        <is>
          <t>Y</t>
        </is>
      </c>
    </row>
    <row r="13">
      <c r="A13" s="20" t="inlineStr">
        <is>
          <t>P003-01-26006</t>
        </is>
      </c>
      <c r="B13" s="20" t="inlineStr">
        <is>
          <t>P003-01</t>
        </is>
      </c>
      <c r="C13" s="17" t="inlineStr">
        <is>
          <t>OPP</t>
        </is>
      </c>
      <c r="D13" s="17" t="inlineStr">
        <is>
          <t>1/1</t>
        </is>
      </c>
      <c r="E13" s="20" t="inlineStr">
        <is>
          <t>1/1</t>
        </is>
      </c>
      <c r="F13" s="17" t="inlineStr">
        <is>
          <t>Lower risk</t>
        </is>
      </c>
      <c r="G13" s="17" t="inlineStr">
        <is>
          <t>good</t>
        </is>
      </c>
      <c r="H13" s="20" t="inlineStr">
        <is>
          <t>B2026-01</t>
        </is>
      </c>
      <c r="I13" s="21" t="n">
        <v>46319</v>
      </c>
      <c r="J13" s="17" t="inlineStr">
        <is>
          <t>Y</t>
        </is>
      </c>
    </row>
    <row r="14">
      <c r="A14" s="20" t="inlineStr">
        <is>
          <t>P003-01-26008</t>
        </is>
      </c>
      <c r="B14" s="20" t="inlineStr">
        <is>
          <t>P003-01</t>
        </is>
      </c>
      <c r="C14" s="17" t="inlineStr">
        <is>
          <t>SCRAPIE</t>
        </is>
      </c>
      <c r="D14" s="17" t="inlineStr">
        <is>
          <t>ARQ/ARQ</t>
        </is>
      </c>
      <c r="E14" s="20" t="inlineStr">
        <is>
          <t>QQ</t>
        </is>
      </c>
      <c r="F14" s="17" t="inlineStr">
        <is>
          <t>More susceptible</t>
        </is>
      </c>
      <c r="G14" s="17" t="inlineStr">
        <is>
          <t>bad</t>
        </is>
      </c>
      <c r="H14" s="20" t="inlineStr">
        <is>
          <t>B2026-01</t>
        </is>
      </c>
      <c r="I14" s="21" t="n">
        <v>46319</v>
      </c>
      <c r="J14" s="17" t="inlineStr">
        <is>
          <t>Y</t>
        </is>
      </c>
    </row>
    <row r="15">
      <c r="A15" s="20" t="inlineStr">
        <is>
          <t>P003-01-26008</t>
        </is>
      </c>
      <c r="B15" s="20" t="inlineStr">
        <is>
          <t>P003-01</t>
        </is>
      </c>
      <c r="C15" s="17" t="inlineStr">
        <is>
          <t>OPP</t>
        </is>
      </c>
      <c r="D15" s="17" t="inlineStr">
        <is>
          <t>1/3</t>
        </is>
      </c>
      <c r="E15" s="20" t="inlineStr">
        <is>
          <t>1/3</t>
        </is>
      </c>
      <c r="F15" s="17" t="inlineStr">
        <is>
          <t>Moderate risk</t>
        </is>
      </c>
      <c r="G15" s="17" t="inlineStr">
        <is>
          <t>mid</t>
        </is>
      </c>
      <c r="H15" s="20" t="inlineStr">
        <is>
          <t>B2026-01</t>
        </is>
      </c>
      <c r="I15" s="21" t="n">
        <v>46319</v>
      </c>
      <c r="J15" s="17" t="inlineStr">
        <is>
          <t>Y</t>
        </is>
      </c>
    </row>
    <row r="16">
      <c r="A16" s="20" t="inlineStr">
        <is>
          <t>P003-01-26009</t>
        </is>
      </c>
      <c r="B16" s="20" t="inlineStr">
        <is>
          <t>P003-01</t>
        </is>
      </c>
      <c r="C16" s="17" t="inlineStr">
        <is>
          <t>SCRAPIE</t>
        </is>
      </c>
      <c r="D16" s="17" t="inlineStr">
        <is>
          <t>ARR/ARQ</t>
        </is>
      </c>
      <c r="E16" s="20" t="inlineStr">
        <is>
          <t>QR</t>
        </is>
      </c>
      <c r="F16" s="17" t="inlineStr">
        <is>
          <t>Carries Q</t>
        </is>
      </c>
      <c r="G16" s="17" t="inlineStr">
        <is>
          <t>mid</t>
        </is>
      </c>
      <c r="H16" s="20" t="inlineStr">
        <is>
          <t>B2026-01</t>
        </is>
      </c>
      <c r="I16" s="21" t="n">
        <v>46319</v>
      </c>
      <c r="J16" s="17" t="inlineStr">
        <is>
          <t>Y</t>
        </is>
      </c>
    </row>
    <row r="17">
      <c r="A17" s="20" t="inlineStr">
        <is>
          <t>P003-01-26009</t>
        </is>
      </c>
      <c r="B17" s="20" t="inlineStr">
        <is>
          <t>P003-01</t>
        </is>
      </c>
      <c r="C17" s="17" t="inlineStr">
        <is>
          <t>OPP</t>
        </is>
      </c>
      <c r="D17" s="17" t="inlineStr">
        <is>
          <t>1/1</t>
        </is>
      </c>
      <c r="E17" s="20" t="inlineStr">
        <is>
          <t>1/1</t>
        </is>
      </c>
      <c r="F17" s="17" t="inlineStr">
        <is>
          <t>Lower risk</t>
        </is>
      </c>
      <c r="G17" s="17" t="inlineStr">
        <is>
          <t>good</t>
        </is>
      </c>
      <c r="H17" s="20" t="inlineStr">
        <is>
          <t>B2026-01</t>
        </is>
      </c>
      <c r="I17" s="21" t="n">
        <v>46319</v>
      </c>
      <c r="J17" s="17" t="inlineStr">
        <is>
          <t>Y</t>
        </is>
      </c>
    </row>
    <row r="18">
      <c r="A18" s="20" t="inlineStr">
        <is>
          <t>P003-01-26010</t>
        </is>
      </c>
      <c r="B18" s="20" t="inlineStr">
        <is>
          <t>P003-01</t>
        </is>
      </c>
      <c r="C18" s="17" t="inlineStr">
        <is>
          <t>SCRAPIE</t>
        </is>
      </c>
      <c r="D18" s="17" t="inlineStr">
        <is>
          <t>ARR/ARR</t>
        </is>
      </c>
      <c r="E18" s="20" t="inlineStr">
        <is>
          <t>RR</t>
        </is>
      </c>
      <c r="F18" s="17" t="inlineStr">
        <is>
          <t>Least susceptible</t>
        </is>
      </c>
      <c r="G18" s="17" t="inlineStr">
        <is>
          <t>good</t>
        </is>
      </c>
      <c r="H18" s="20" t="inlineStr">
        <is>
          <t>B2026-01</t>
        </is>
      </c>
      <c r="I18" s="21" t="n">
        <v>46319</v>
      </c>
      <c r="J18" s="17" t="inlineStr">
        <is>
          <t>Y</t>
        </is>
      </c>
    </row>
    <row r="19">
      <c r="A19" s="20" t="inlineStr">
        <is>
          <t>P003-01-26010</t>
        </is>
      </c>
      <c r="B19" s="20" t="inlineStr">
        <is>
          <t>P003-01</t>
        </is>
      </c>
      <c r="C19" s="17" t="inlineStr">
        <is>
          <t>OPP</t>
        </is>
      </c>
      <c r="D19" s="17" t="inlineStr">
        <is>
          <t>2/3</t>
        </is>
      </c>
      <c r="E19" s="20" t="inlineStr">
        <is>
          <t>2/3</t>
        </is>
      </c>
      <c r="F19" s="17" t="inlineStr">
        <is>
          <t>Higher risk</t>
        </is>
      </c>
      <c r="G19" s="17" t="inlineStr">
        <is>
          <t>bad</t>
        </is>
      </c>
      <c r="H19" s="20" t="inlineStr">
        <is>
          <t>B2026-01</t>
        </is>
      </c>
      <c r="I19" s="21" t="n">
        <v>46319</v>
      </c>
      <c r="J19" s="17" t="inlineStr">
        <is>
          <t>Y</t>
        </is>
      </c>
    </row>
    <row r="20">
      <c r="A20" s="20" t="inlineStr">
        <is>
          <t>P003-01-23015</t>
        </is>
      </c>
      <c r="B20" s="20" t="inlineStr">
        <is>
          <t>P003-01</t>
        </is>
      </c>
      <c r="C20" s="17" t="inlineStr">
        <is>
          <t>SCRAPIE</t>
        </is>
      </c>
      <c r="D20" s="17" t="inlineStr">
        <is>
          <t>ARR/ARQ</t>
        </is>
      </c>
      <c r="E20" s="20" t="inlineStr">
        <is>
          <t>QR</t>
        </is>
      </c>
      <c r="F20" s="17" t="inlineStr">
        <is>
          <t>Carries Q</t>
        </is>
      </c>
      <c r="G20" s="17" t="inlineStr">
        <is>
          <t>mid</t>
        </is>
      </c>
      <c r="H20" s="20" t="inlineStr">
        <is>
          <t>B2026-02</t>
        </is>
      </c>
      <c r="I20" s="21" t="n">
        <v>46322</v>
      </c>
      <c r="J20" s="17" t="inlineStr">
        <is>
          <t>Y</t>
        </is>
      </c>
    </row>
    <row r="21">
      <c r="A21" s="20" t="inlineStr">
        <is>
          <t>P003-01-23015</t>
        </is>
      </c>
      <c r="B21" s="20" t="inlineStr">
        <is>
          <t>P003-01</t>
        </is>
      </c>
      <c r="C21" s="17" t="inlineStr">
        <is>
          <t>OPP</t>
        </is>
      </c>
      <c r="D21" s="17" t="inlineStr">
        <is>
          <t>1/1</t>
        </is>
      </c>
      <c r="E21" s="20" t="inlineStr">
        <is>
          <t>1/1</t>
        </is>
      </c>
      <c r="F21" s="17" t="inlineStr">
        <is>
          <t>Lower risk</t>
        </is>
      </c>
      <c r="G21" s="17" t="inlineStr">
        <is>
          <t>good</t>
        </is>
      </c>
      <c r="H21" s="20" t="inlineStr">
        <is>
          <t>B2026-02</t>
        </is>
      </c>
      <c r="I21" s="21" t="n">
        <v>46322</v>
      </c>
      <c r="J21" s="17" t="inlineStr">
        <is>
          <t>Y</t>
        </is>
      </c>
    </row>
    <row r="22">
      <c r="A22" s="22" t="n"/>
      <c r="B22" s="22" t="n"/>
      <c r="E22" s="22" t="n"/>
      <c r="H22" s="22" t="n"/>
      <c r="I22" s="23" t="n"/>
    </row>
    <row r="23">
      <c r="A23" s="22" t="n"/>
      <c r="B23" s="22" t="n"/>
      <c r="E23" s="22" t="n"/>
      <c r="H23" s="22" t="n"/>
      <c r="I23" s="23" t="n"/>
    </row>
    <row r="24">
      <c r="A24" s="22" t="n"/>
      <c r="B24" s="22" t="n"/>
      <c r="E24" s="22" t="n"/>
      <c r="H24" s="22" t="n"/>
      <c r="I24" s="23" t="n"/>
    </row>
    <row r="25">
      <c r="A25" s="22" t="n"/>
      <c r="B25" s="22" t="n"/>
      <c r="E25" s="22" t="n"/>
      <c r="H25" s="22" t="n"/>
      <c r="I25" s="23" t="n"/>
    </row>
    <row r="26">
      <c r="A26" s="22" t="n"/>
      <c r="B26" s="22" t="n"/>
      <c r="E26" s="22" t="n"/>
      <c r="H26" s="22" t="n"/>
      <c r="I26" s="23" t="n"/>
    </row>
    <row r="27">
      <c r="A27" s="22" t="n"/>
      <c r="B27" s="22" t="n"/>
      <c r="E27" s="22" t="n"/>
      <c r="H27" s="22" t="n"/>
      <c r="I27" s="23" t="n"/>
    </row>
    <row r="28">
      <c r="A28" s="22" t="n"/>
      <c r="B28" s="22" t="n"/>
      <c r="E28" s="22" t="n"/>
      <c r="H28" s="22" t="n"/>
      <c r="I28" s="23" t="n"/>
    </row>
    <row r="29">
      <c r="A29" s="22" t="n"/>
      <c r="B29" s="22" t="n"/>
      <c r="E29" s="22" t="n"/>
      <c r="H29" s="22" t="n"/>
      <c r="I29" s="23" t="n"/>
    </row>
    <row r="30">
      <c r="A30" s="22" t="n"/>
      <c r="B30" s="22" t="n"/>
      <c r="E30" s="22" t="n"/>
      <c r="H30" s="22" t="n"/>
      <c r="I30" s="23" t="n"/>
    </row>
    <row r="31">
      <c r="A31" s="22" t="n"/>
      <c r="B31" s="22" t="n"/>
      <c r="E31" s="22" t="n"/>
      <c r="H31" s="22" t="n"/>
      <c r="I31" s="23" t="n"/>
    </row>
    <row r="32">
      <c r="A32" s="22" t="n"/>
      <c r="B32" s="22" t="n"/>
      <c r="E32" s="22" t="n"/>
      <c r="H32" s="22" t="n"/>
      <c r="I32" s="23" t="n"/>
    </row>
    <row r="33">
      <c r="A33" s="22" t="n"/>
      <c r="B33" s="22" t="n"/>
      <c r="E33" s="22" t="n"/>
      <c r="H33" s="22" t="n"/>
      <c r="I33" s="23" t="n"/>
    </row>
    <row r="34">
      <c r="A34" s="22" t="n"/>
      <c r="B34" s="22" t="n"/>
      <c r="E34" s="22" t="n"/>
      <c r="H34" s="22" t="n"/>
      <c r="I34" s="23" t="n"/>
    </row>
    <row r="35">
      <c r="A35" s="22" t="n"/>
      <c r="B35" s="22" t="n"/>
      <c r="E35" s="22" t="n"/>
      <c r="H35" s="22" t="n"/>
      <c r="I35" s="23" t="n"/>
    </row>
    <row r="36">
      <c r="A36" s="22" t="n"/>
      <c r="B36" s="22" t="n"/>
      <c r="E36" s="22" t="n"/>
      <c r="H36" s="22" t="n"/>
      <c r="I36" s="23" t="n"/>
    </row>
    <row r="37">
      <c r="A37" s="22" t="n"/>
      <c r="B37" s="22" t="n"/>
      <c r="E37" s="22" t="n"/>
      <c r="H37" s="22" t="n"/>
      <c r="I37" s="23" t="n"/>
    </row>
    <row r="38">
      <c r="A38" s="22" t="n"/>
      <c r="B38" s="22" t="n"/>
      <c r="E38" s="22" t="n"/>
      <c r="H38" s="22" t="n"/>
      <c r="I38" s="23" t="n"/>
    </row>
    <row r="39">
      <c r="A39" s="22" t="n"/>
      <c r="B39" s="22" t="n"/>
      <c r="E39" s="22" t="n"/>
      <c r="H39" s="22" t="n"/>
      <c r="I39" s="23" t="n"/>
    </row>
    <row r="40">
      <c r="A40" s="22" t="n"/>
      <c r="B40" s="22" t="n"/>
      <c r="E40" s="22" t="n"/>
      <c r="H40" s="22" t="n"/>
      <c r="I40" s="23" t="n"/>
    </row>
    <row r="41">
      <c r="A41" s="22" t="n"/>
      <c r="B41" s="22" t="n"/>
      <c r="E41" s="22" t="n"/>
      <c r="H41" s="22" t="n"/>
      <c r="I41" s="23" t="n"/>
    </row>
    <row r="42">
      <c r="A42" s="22" t="n"/>
      <c r="B42" s="22" t="n"/>
      <c r="E42" s="22" t="n"/>
      <c r="H42" s="22" t="n"/>
      <c r="I42" s="23" t="n"/>
    </row>
    <row r="43">
      <c r="A43" s="22" t="n"/>
      <c r="B43" s="22" t="n"/>
      <c r="E43" s="22" t="n"/>
      <c r="H43" s="22" t="n"/>
      <c r="I43" s="23" t="n"/>
    </row>
    <row r="44">
      <c r="A44" s="22" t="n"/>
      <c r="B44" s="22" t="n"/>
      <c r="E44" s="22" t="n"/>
      <c r="H44" s="22" t="n"/>
      <c r="I44" s="23" t="n"/>
    </row>
    <row r="45">
      <c r="A45" s="22" t="n"/>
      <c r="B45" s="22" t="n"/>
      <c r="E45" s="22" t="n"/>
      <c r="H45" s="22" t="n"/>
      <c r="I45" s="23" t="n"/>
    </row>
    <row r="46">
      <c r="A46" s="22" t="n"/>
      <c r="B46" s="22" t="n"/>
      <c r="E46" s="22" t="n"/>
      <c r="H46" s="22" t="n"/>
      <c r="I46" s="23" t="n"/>
    </row>
    <row r="47">
      <c r="A47" s="22" t="n"/>
      <c r="B47" s="22" t="n"/>
      <c r="E47" s="22" t="n"/>
      <c r="H47" s="22" t="n"/>
      <c r="I47" s="23" t="n"/>
    </row>
    <row r="48">
      <c r="A48" s="22" t="n"/>
      <c r="B48" s="22" t="n"/>
      <c r="E48" s="22" t="n"/>
      <c r="H48" s="22" t="n"/>
      <c r="I48" s="23" t="n"/>
    </row>
    <row r="49">
      <c r="A49" s="22" t="n"/>
      <c r="B49" s="22" t="n"/>
      <c r="E49" s="22" t="n"/>
      <c r="H49" s="22" t="n"/>
      <c r="I49" s="23" t="n"/>
    </row>
    <row r="50">
      <c r="A50" s="22" t="n"/>
      <c r="B50" s="22" t="n"/>
      <c r="E50" s="22" t="n"/>
      <c r="H50" s="22" t="n"/>
      <c r="I50" s="23" t="n"/>
    </row>
    <row r="51">
      <c r="A51" s="22" t="n"/>
      <c r="B51" s="22" t="n"/>
      <c r="E51" s="22" t="n"/>
      <c r="H51" s="22" t="n"/>
      <c r="I51" s="23" t="n"/>
    </row>
    <row r="52">
      <c r="A52" s="22" t="n"/>
      <c r="B52" s="22" t="n"/>
      <c r="E52" s="22" t="n"/>
      <c r="H52" s="22" t="n"/>
      <c r="I52" s="23" t="n"/>
    </row>
    <row r="53">
      <c r="A53" s="22" t="n"/>
      <c r="B53" s="22" t="n"/>
      <c r="E53" s="22" t="n"/>
      <c r="H53" s="22" t="n"/>
      <c r="I53" s="23" t="n"/>
    </row>
    <row r="54">
      <c r="A54" s="22" t="n"/>
      <c r="B54" s="22" t="n"/>
      <c r="E54" s="22" t="n"/>
      <c r="H54" s="22" t="n"/>
      <c r="I54" s="23" t="n"/>
    </row>
    <row r="55">
      <c r="A55" s="22" t="n"/>
      <c r="B55" s="22" t="n"/>
      <c r="E55" s="22" t="n"/>
      <c r="H55" s="22" t="n"/>
      <c r="I55" s="23" t="n"/>
    </row>
    <row r="56">
      <c r="A56" s="22" t="n"/>
      <c r="B56" s="22" t="n"/>
      <c r="E56" s="22" t="n"/>
      <c r="H56" s="22" t="n"/>
      <c r="I56" s="23" t="n"/>
    </row>
    <row r="57">
      <c r="A57" s="22" t="n"/>
      <c r="B57" s="22" t="n"/>
      <c r="E57" s="22" t="n"/>
      <c r="H57" s="22" t="n"/>
      <c r="I57" s="23" t="n"/>
    </row>
    <row r="58">
      <c r="A58" s="22" t="n"/>
      <c r="B58" s="22" t="n"/>
      <c r="E58" s="22" t="n"/>
      <c r="H58" s="22" t="n"/>
      <c r="I58" s="23" t="n"/>
    </row>
    <row r="59">
      <c r="A59" s="22" t="n"/>
      <c r="B59" s="22" t="n"/>
      <c r="E59" s="22" t="n"/>
      <c r="H59" s="22" t="n"/>
      <c r="I59" s="23" t="n"/>
    </row>
    <row r="60">
      <c r="A60" s="22" t="n"/>
      <c r="B60" s="22" t="n"/>
      <c r="E60" s="22" t="n"/>
      <c r="H60" s="22" t="n"/>
      <c r="I60" s="23" t="n"/>
    </row>
    <row r="61">
      <c r="A61" s="22" t="n"/>
      <c r="B61" s="22" t="n"/>
      <c r="E61" s="22" t="n"/>
      <c r="H61" s="22" t="n"/>
      <c r="I61" s="23" t="n"/>
    </row>
    <row r="62">
      <c r="A62" s="22" t="n"/>
      <c r="B62" s="22" t="n"/>
      <c r="E62" s="22" t="n"/>
      <c r="H62" s="22" t="n"/>
      <c r="I62" s="23" t="n"/>
    </row>
    <row r="63">
      <c r="A63" s="22" t="n"/>
      <c r="B63" s="22" t="n"/>
      <c r="E63" s="22" t="n"/>
      <c r="H63" s="22" t="n"/>
      <c r="I63" s="23" t="n"/>
    </row>
    <row r="64">
      <c r="A64" s="22" t="n"/>
      <c r="B64" s="22" t="n"/>
      <c r="E64" s="22" t="n"/>
      <c r="H64" s="22" t="n"/>
      <c r="I64" s="23" t="n"/>
    </row>
    <row r="65">
      <c r="A65" s="22" t="n"/>
      <c r="B65" s="22" t="n"/>
      <c r="E65" s="22" t="n"/>
      <c r="H65" s="22" t="n"/>
      <c r="I65" s="23" t="n"/>
    </row>
    <row r="66">
      <c r="A66" s="22" t="n"/>
      <c r="B66" s="22" t="n"/>
      <c r="E66" s="22" t="n"/>
      <c r="H66" s="22" t="n"/>
      <c r="I66" s="23" t="n"/>
    </row>
    <row r="67">
      <c r="A67" s="22" t="n"/>
      <c r="B67" s="22" t="n"/>
      <c r="E67" s="22" t="n"/>
      <c r="H67" s="22" t="n"/>
      <c r="I67" s="23" t="n"/>
    </row>
    <row r="68">
      <c r="A68" s="22" t="n"/>
      <c r="B68" s="22" t="n"/>
      <c r="E68" s="22" t="n"/>
      <c r="H68" s="22" t="n"/>
      <c r="I68" s="23" t="n"/>
    </row>
    <row r="69">
      <c r="A69" s="22" t="n"/>
      <c r="B69" s="22" t="n"/>
      <c r="E69" s="22" t="n"/>
      <c r="H69" s="22" t="n"/>
      <c r="I69" s="23" t="n"/>
    </row>
    <row r="70">
      <c r="A70" s="22" t="n"/>
      <c r="B70" s="22" t="n"/>
      <c r="E70" s="22" t="n"/>
      <c r="H70" s="22" t="n"/>
      <c r="I70" s="23" t="n"/>
    </row>
    <row r="71">
      <c r="A71" s="22" t="n"/>
      <c r="B71" s="22" t="n"/>
      <c r="E71" s="22" t="n"/>
      <c r="H71" s="22" t="n"/>
      <c r="I71" s="23" t="n"/>
    </row>
    <row r="72">
      <c r="A72" s="22" t="n"/>
      <c r="B72" s="22" t="n"/>
      <c r="E72" s="22" t="n"/>
      <c r="H72" s="22" t="n"/>
      <c r="I72" s="23" t="n"/>
    </row>
    <row r="73">
      <c r="A73" s="22" t="n"/>
      <c r="B73" s="22" t="n"/>
      <c r="E73" s="22" t="n"/>
      <c r="H73" s="22" t="n"/>
      <c r="I73" s="23" t="n"/>
    </row>
    <row r="74">
      <c r="A74" s="22" t="n"/>
      <c r="B74" s="22" t="n"/>
      <c r="E74" s="22" t="n"/>
      <c r="H74" s="22" t="n"/>
      <c r="I74" s="23" t="n"/>
    </row>
    <row r="75">
      <c r="A75" s="22" t="n"/>
      <c r="B75" s="22" t="n"/>
      <c r="E75" s="22" t="n"/>
      <c r="H75" s="22" t="n"/>
      <c r="I75" s="23" t="n"/>
    </row>
    <row r="76">
      <c r="A76" s="22" t="n"/>
      <c r="B76" s="22" t="n"/>
      <c r="E76" s="22" t="n"/>
      <c r="H76" s="22" t="n"/>
      <c r="I76" s="23" t="n"/>
    </row>
    <row r="77">
      <c r="A77" s="22" t="n"/>
      <c r="B77" s="22" t="n"/>
      <c r="E77" s="22" t="n"/>
      <c r="H77" s="22" t="n"/>
      <c r="I77" s="23" t="n"/>
    </row>
    <row r="78">
      <c r="A78" s="22" t="n"/>
      <c r="B78" s="22" t="n"/>
      <c r="E78" s="22" t="n"/>
      <c r="H78" s="22" t="n"/>
      <c r="I78" s="23" t="n"/>
    </row>
    <row r="79">
      <c r="A79" s="22" t="n"/>
      <c r="B79" s="22" t="n"/>
      <c r="E79" s="22" t="n"/>
      <c r="H79" s="22" t="n"/>
      <c r="I79" s="23" t="n"/>
    </row>
    <row r="80">
      <c r="A80" s="22" t="n"/>
      <c r="B80" s="22" t="n"/>
      <c r="E80" s="22" t="n"/>
      <c r="H80" s="22" t="n"/>
      <c r="I80" s="23" t="n"/>
    </row>
    <row r="81">
      <c r="A81" s="22" t="n"/>
      <c r="B81" s="22" t="n"/>
      <c r="E81" s="22" t="n"/>
      <c r="H81" s="22" t="n"/>
      <c r="I81" s="23" t="n"/>
    </row>
    <row r="82">
      <c r="A82" s="22" t="n"/>
      <c r="B82" s="22" t="n"/>
      <c r="E82" s="22" t="n"/>
      <c r="H82" s="22" t="n"/>
      <c r="I82" s="23" t="n"/>
    </row>
    <row r="83">
      <c r="A83" s="22" t="n"/>
      <c r="B83" s="22" t="n"/>
      <c r="E83" s="22" t="n"/>
      <c r="H83" s="22" t="n"/>
      <c r="I83" s="23" t="n"/>
    </row>
    <row r="84">
      <c r="A84" s="22" t="n"/>
      <c r="B84" s="22" t="n"/>
      <c r="E84" s="22" t="n"/>
      <c r="H84" s="22" t="n"/>
      <c r="I84" s="23" t="n"/>
    </row>
    <row r="85">
      <c r="A85" s="22" t="n"/>
      <c r="B85" s="22" t="n"/>
      <c r="E85" s="22" t="n"/>
      <c r="H85" s="22" t="n"/>
      <c r="I85" s="23" t="n"/>
    </row>
    <row r="86">
      <c r="A86" s="22" t="n"/>
      <c r="B86" s="22" t="n"/>
      <c r="E86" s="22" t="n"/>
      <c r="H86" s="22" t="n"/>
      <c r="I86" s="23" t="n"/>
    </row>
    <row r="87">
      <c r="A87" s="22" t="n"/>
      <c r="B87" s="22" t="n"/>
      <c r="E87" s="22" t="n"/>
      <c r="H87" s="22" t="n"/>
      <c r="I87" s="23" t="n"/>
    </row>
    <row r="88">
      <c r="A88" s="22" t="n"/>
      <c r="B88" s="22" t="n"/>
      <c r="E88" s="22" t="n"/>
      <c r="H88" s="22" t="n"/>
      <c r="I88" s="23" t="n"/>
    </row>
    <row r="89">
      <c r="A89" s="22" t="n"/>
      <c r="B89" s="22" t="n"/>
      <c r="E89" s="22" t="n"/>
      <c r="H89" s="22" t="n"/>
      <c r="I89" s="23" t="n"/>
    </row>
    <row r="90">
      <c r="A90" s="22" t="n"/>
      <c r="B90" s="22" t="n"/>
      <c r="E90" s="22" t="n"/>
      <c r="H90" s="22" t="n"/>
      <c r="I90" s="23" t="n"/>
    </row>
    <row r="91">
      <c r="A91" s="22" t="n"/>
      <c r="B91" s="22" t="n"/>
      <c r="E91" s="22" t="n"/>
      <c r="H91" s="22" t="n"/>
      <c r="I91" s="23" t="n"/>
    </row>
    <row r="92">
      <c r="A92" s="22" t="n"/>
      <c r="B92" s="22" t="n"/>
      <c r="E92" s="22" t="n"/>
      <c r="H92" s="22" t="n"/>
      <c r="I92" s="23" t="n"/>
    </row>
    <row r="93">
      <c r="A93" s="22" t="n"/>
      <c r="B93" s="22" t="n"/>
      <c r="E93" s="22" t="n"/>
      <c r="H93" s="22" t="n"/>
      <c r="I93" s="23" t="n"/>
    </row>
    <row r="94">
      <c r="A94" s="22" t="n"/>
      <c r="B94" s="22" t="n"/>
      <c r="E94" s="22" t="n"/>
      <c r="H94" s="22" t="n"/>
      <c r="I94" s="23" t="n"/>
    </row>
    <row r="95">
      <c r="A95" s="22" t="n"/>
      <c r="B95" s="22" t="n"/>
      <c r="E95" s="22" t="n"/>
      <c r="H95" s="22" t="n"/>
      <c r="I95" s="23" t="n"/>
    </row>
    <row r="96">
      <c r="A96" s="22" t="n"/>
      <c r="B96" s="22" t="n"/>
      <c r="E96" s="22" t="n"/>
      <c r="H96" s="22" t="n"/>
      <c r="I96" s="23" t="n"/>
    </row>
    <row r="97">
      <c r="A97" s="22" t="n"/>
      <c r="B97" s="22" t="n"/>
      <c r="E97" s="22" t="n"/>
      <c r="H97" s="22" t="n"/>
      <c r="I97" s="23" t="n"/>
    </row>
    <row r="98">
      <c r="A98" s="22" t="n"/>
      <c r="B98" s="22" t="n"/>
      <c r="E98" s="22" t="n"/>
      <c r="H98" s="22" t="n"/>
      <c r="I98" s="23" t="n"/>
    </row>
    <row r="99">
      <c r="A99" s="22" t="n"/>
      <c r="B99" s="22" t="n"/>
      <c r="E99" s="22" t="n"/>
      <c r="H99" s="22" t="n"/>
      <c r="I99" s="23" t="n"/>
    </row>
    <row r="100">
      <c r="A100" s="22" t="n"/>
      <c r="B100" s="22" t="n"/>
      <c r="E100" s="22" t="n"/>
      <c r="H100" s="22" t="n"/>
      <c r="I100" s="23" t="n"/>
    </row>
    <row r="101">
      <c r="A101" s="22" t="n"/>
      <c r="B101" s="22" t="n"/>
      <c r="E101" s="22" t="n"/>
      <c r="H101" s="22" t="n"/>
      <c r="I101" s="23" t="n"/>
    </row>
    <row r="102">
      <c r="A102" s="22" t="n"/>
      <c r="B102" s="22" t="n"/>
      <c r="E102" s="22" t="n"/>
      <c r="H102" s="22" t="n"/>
      <c r="I102" s="23" t="n"/>
    </row>
    <row r="103">
      <c r="A103" s="22" t="n"/>
      <c r="B103" s="22" t="n"/>
      <c r="E103" s="22" t="n"/>
      <c r="H103" s="22" t="n"/>
      <c r="I103" s="23" t="n"/>
    </row>
    <row r="104">
      <c r="A104" s="22" t="n"/>
      <c r="B104" s="22" t="n"/>
      <c r="E104" s="22" t="n"/>
      <c r="H104" s="22" t="n"/>
      <c r="I104" s="23" t="n"/>
    </row>
    <row r="105">
      <c r="A105" s="22" t="n"/>
      <c r="B105" s="22" t="n"/>
      <c r="E105" s="22" t="n"/>
      <c r="H105" s="22" t="n"/>
      <c r="I105" s="23" t="n"/>
    </row>
    <row r="106">
      <c r="A106" s="22" t="n"/>
      <c r="B106" s="22" t="n"/>
      <c r="E106" s="22" t="n"/>
      <c r="H106" s="22" t="n"/>
      <c r="I106" s="23" t="n"/>
    </row>
    <row r="107">
      <c r="A107" s="22" t="n"/>
      <c r="B107" s="22" t="n"/>
      <c r="E107" s="22" t="n"/>
      <c r="H107" s="22" t="n"/>
      <c r="I107" s="23" t="n"/>
    </row>
    <row r="108">
      <c r="A108" s="22" t="n"/>
      <c r="B108" s="22" t="n"/>
      <c r="E108" s="22" t="n"/>
      <c r="H108" s="22" t="n"/>
      <c r="I108" s="23" t="n"/>
    </row>
    <row r="109">
      <c r="A109" s="22" t="n"/>
      <c r="B109" s="22" t="n"/>
      <c r="E109" s="22" t="n"/>
      <c r="H109" s="22" t="n"/>
      <c r="I109" s="23" t="n"/>
    </row>
    <row r="110">
      <c r="A110" s="22" t="n"/>
      <c r="B110" s="22" t="n"/>
      <c r="E110" s="22" t="n"/>
      <c r="H110" s="22" t="n"/>
      <c r="I110" s="23" t="n"/>
    </row>
    <row r="111">
      <c r="A111" s="22" t="n"/>
      <c r="B111" s="22" t="n"/>
      <c r="E111" s="22" t="n"/>
      <c r="H111" s="22" t="n"/>
      <c r="I111" s="23" t="n"/>
    </row>
    <row r="112">
      <c r="A112" s="22" t="n"/>
      <c r="B112" s="22" t="n"/>
      <c r="E112" s="22" t="n"/>
      <c r="H112" s="22" t="n"/>
      <c r="I112" s="23" t="n"/>
    </row>
    <row r="113">
      <c r="A113" s="22" t="n"/>
      <c r="B113" s="22" t="n"/>
      <c r="E113" s="22" t="n"/>
      <c r="H113" s="22" t="n"/>
      <c r="I113" s="23" t="n"/>
    </row>
    <row r="114">
      <c r="A114" s="22" t="n"/>
      <c r="B114" s="22" t="n"/>
      <c r="E114" s="22" t="n"/>
      <c r="H114" s="22" t="n"/>
      <c r="I114" s="23" t="n"/>
    </row>
    <row r="115">
      <c r="A115" s="22" t="n"/>
      <c r="B115" s="22" t="n"/>
      <c r="E115" s="22" t="n"/>
      <c r="H115" s="22" t="n"/>
      <c r="I115" s="23" t="n"/>
    </row>
    <row r="116">
      <c r="A116" s="22" t="n"/>
      <c r="B116" s="22" t="n"/>
      <c r="E116" s="22" t="n"/>
      <c r="H116" s="22" t="n"/>
      <c r="I116" s="23" t="n"/>
    </row>
    <row r="117">
      <c r="A117" s="22" t="n"/>
      <c r="B117" s="22" t="n"/>
      <c r="E117" s="22" t="n"/>
      <c r="H117" s="22" t="n"/>
      <c r="I117" s="23" t="n"/>
    </row>
    <row r="118">
      <c r="A118" s="22" t="n"/>
      <c r="B118" s="22" t="n"/>
      <c r="E118" s="22" t="n"/>
      <c r="H118" s="22" t="n"/>
      <c r="I118" s="23" t="n"/>
    </row>
    <row r="119">
      <c r="A119" s="22" t="n"/>
      <c r="B119" s="22" t="n"/>
      <c r="E119" s="22" t="n"/>
      <c r="H119" s="22" t="n"/>
      <c r="I119" s="23" t="n"/>
    </row>
    <row r="120">
      <c r="A120" s="22" t="n"/>
      <c r="B120" s="22" t="n"/>
      <c r="E120" s="22" t="n"/>
      <c r="H120" s="22" t="n"/>
      <c r="I120" s="23" t="n"/>
    </row>
    <row r="121">
      <c r="A121" s="22" t="n"/>
      <c r="B121" s="22" t="n"/>
      <c r="E121" s="22" t="n"/>
      <c r="H121" s="22" t="n"/>
      <c r="I121" s="23" t="n"/>
    </row>
    <row r="122">
      <c r="A122" s="22" t="n"/>
      <c r="B122" s="22" t="n"/>
      <c r="E122" s="22" t="n"/>
      <c r="H122" s="22" t="n"/>
      <c r="I122" s="23" t="n"/>
    </row>
    <row r="123">
      <c r="A123" s="22" t="n"/>
      <c r="B123" s="22" t="n"/>
      <c r="E123" s="22" t="n"/>
      <c r="H123" s="22" t="n"/>
      <c r="I123" s="23" t="n"/>
    </row>
    <row r="124">
      <c r="A124" s="22" t="n"/>
      <c r="B124" s="22" t="n"/>
      <c r="E124" s="22" t="n"/>
      <c r="H124" s="22" t="n"/>
      <c r="I124" s="23" t="n"/>
    </row>
    <row r="125">
      <c r="A125" s="22" t="n"/>
      <c r="B125" s="22" t="n"/>
      <c r="E125" s="22" t="n"/>
      <c r="H125" s="22" t="n"/>
      <c r="I125" s="23" t="n"/>
    </row>
    <row r="126">
      <c r="A126" s="22" t="n"/>
      <c r="B126" s="22" t="n"/>
      <c r="E126" s="22" t="n"/>
      <c r="H126" s="22" t="n"/>
      <c r="I126" s="23" t="n"/>
    </row>
    <row r="127">
      <c r="A127" s="22" t="n"/>
      <c r="B127" s="22" t="n"/>
      <c r="E127" s="22" t="n"/>
      <c r="H127" s="22" t="n"/>
      <c r="I127" s="23" t="n"/>
    </row>
    <row r="128">
      <c r="A128" s="22" t="n"/>
      <c r="B128" s="22" t="n"/>
      <c r="E128" s="22" t="n"/>
      <c r="H128" s="22" t="n"/>
      <c r="I128" s="23" t="n"/>
    </row>
    <row r="129">
      <c r="A129" s="22" t="n"/>
      <c r="B129" s="22" t="n"/>
      <c r="E129" s="22" t="n"/>
      <c r="H129" s="22" t="n"/>
      <c r="I129" s="23" t="n"/>
    </row>
    <row r="130">
      <c r="A130" s="22" t="n"/>
      <c r="B130" s="22" t="n"/>
      <c r="E130" s="22" t="n"/>
      <c r="H130" s="22" t="n"/>
      <c r="I130" s="23" t="n"/>
    </row>
    <row r="131">
      <c r="A131" s="22" t="n"/>
      <c r="B131" s="22" t="n"/>
      <c r="E131" s="22" t="n"/>
      <c r="H131" s="22" t="n"/>
      <c r="I131" s="23" t="n"/>
    </row>
    <row r="132">
      <c r="A132" s="22" t="n"/>
      <c r="B132" s="22" t="n"/>
      <c r="E132" s="22" t="n"/>
      <c r="H132" s="22" t="n"/>
      <c r="I132" s="23" t="n"/>
    </row>
    <row r="133">
      <c r="A133" s="22" t="n"/>
      <c r="B133" s="22" t="n"/>
      <c r="E133" s="22" t="n"/>
      <c r="H133" s="22" t="n"/>
      <c r="I133" s="23" t="n"/>
    </row>
    <row r="134">
      <c r="A134" s="22" t="n"/>
      <c r="B134" s="22" t="n"/>
      <c r="E134" s="22" t="n"/>
      <c r="H134" s="22" t="n"/>
      <c r="I134" s="23" t="n"/>
    </row>
    <row r="135">
      <c r="A135" s="22" t="n"/>
      <c r="B135" s="22" t="n"/>
      <c r="E135" s="22" t="n"/>
      <c r="H135" s="22" t="n"/>
      <c r="I135" s="23" t="n"/>
    </row>
    <row r="136">
      <c r="A136" s="22" t="n"/>
      <c r="B136" s="22" t="n"/>
      <c r="E136" s="22" t="n"/>
      <c r="H136" s="22" t="n"/>
      <c r="I136" s="23" t="n"/>
    </row>
    <row r="137">
      <c r="A137" s="22" t="n"/>
      <c r="B137" s="22" t="n"/>
      <c r="E137" s="22" t="n"/>
      <c r="H137" s="22" t="n"/>
      <c r="I137" s="23" t="n"/>
    </row>
    <row r="138">
      <c r="A138" s="22" t="n"/>
      <c r="B138" s="22" t="n"/>
      <c r="E138" s="22" t="n"/>
      <c r="H138" s="22" t="n"/>
      <c r="I138" s="23" t="n"/>
    </row>
    <row r="139">
      <c r="A139" s="22" t="n"/>
      <c r="B139" s="22" t="n"/>
      <c r="E139" s="22" t="n"/>
      <c r="H139" s="22" t="n"/>
      <c r="I139" s="23" t="n"/>
    </row>
    <row r="140">
      <c r="A140" s="22" t="n"/>
      <c r="B140" s="22" t="n"/>
      <c r="E140" s="22" t="n"/>
      <c r="H140" s="22" t="n"/>
      <c r="I140" s="23" t="n"/>
    </row>
    <row r="141">
      <c r="A141" s="22" t="n"/>
      <c r="B141" s="22" t="n"/>
      <c r="E141" s="22" t="n"/>
      <c r="H141" s="22" t="n"/>
      <c r="I141" s="23" t="n"/>
    </row>
    <row r="142">
      <c r="A142" s="22" t="n"/>
      <c r="B142" s="22" t="n"/>
      <c r="E142" s="22" t="n"/>
      <c r="H142" s="22" t="n"/>
      <c r="I142" s="23" t="n"/>
    </row>
    <row r="143">
      <c r="A143" s="22" t="n"/>
      <c r="B143" s="22" t="n"/>
      <c r="E143" s="22" t="n"/>
      <c r="H143" s="22" t="n"/>
      <c r="I143" s="23" t="n"/>
    </row>
    <row r="144">
      <c r="A144" s="22" t="n"/>
      <c r="B144" s="22" t="n"/>
      <c r="E144" s="22" t="n"/>
      <c r="H144" s="22" t="n"/>
      <c r="I144" s="23" t="n"/>
    </row>
    <row r="145">
      <c r="A145" s="22" t="n"/>
      <c r="B145" s="22" t="n"/>
      <c r="E145" s="22" t="n"/>
      <c r="H145" s="22" t="n"/>
      <c r="I145" s="23" t="n"/>
    </row>
    <row r="146">
      <c r="A146" s="22" t="n"/>
      <c r="B146" s="22" t="n"/>
      <c r="E146" s="22" t="n"/>
      <c r="H146" s="22" t="n"/>
      <c r="I146" s="23" t="n"/>
    </row>
    <row r="147">
      <c r="A147" s="22" t="n"/>
      <c r="B147" s="22" t="n"/>
      <c r="E147" s="22" t="n"/>
      <c r="H147" s="22" t="n"/>
      <c r="I147" s="23" t="n"/>
    </row>
    <row r="148">
      <c r="A148" s="22" t="n"/>
      <c r="B148" s="22" t="n"/>
      <c r="E148" s="22" t="n"/>
      <c r="H148" s="22" t="n"/>
      <c r="I148" s="23" t="n"/>
    </row>
    <row r="149">
      <c r="A149" s="22" t="n"/>
      <c r="B149" s="22" t="n"/>
      <c r="E149" s="22" t="n"/>
      <c r="H149" s="22" t="n"/>
      <c r="I149" s="23" t="n"/>
    </row>
    <row r="150">
      <c r="A150" s="22" t="n"/>
      <c r="B150" s="22" t="n"/>
      <c r="E150" s="22" t="n"/>
      <c r="H150" s="22" t="n"/>
      <c r="I150" s="23" t="n"/>
    </row>
    <row r="151">
      <c r="A151" s="22" t="n"/>
      <c r="B151" s="22" t="n"/>
      <c r="E151" s="22" t="n"/>
      <c r="H151" s="22" t="n"/>
      <c r="I151" s="23" t="n"/>
    </row>
    <row r="152">
      <c r="A152" s="22" t="n"/>
      <c r="B152" s="22" t="n"/>
      <c r="E152" s="22" t="n"/>
      <c r="H152" s="22" t="n"/>
      <c r="I152" s="23" t="n"/>
    </row>
    <row r="153">
      <c r="A153" s="22" t="n"/>
      <c r="B153" s="22" t="n"/>
      <c r="E153" s="22" t="n"/>
      <c r="H153" s="22" t="n"/>
      <c r="I153" s="23" t="n"/>
    </row>
    <row r="154">
      <c r="A154" s="22" t="n"/>
      <c r="B154" s="22" t="n"/>
      <c r="E154" s="22" t="n"/>
      <c r="H154" s="22" t="n"/>
      <c r="I154" s="23" t="n"/>
    </row>
    <row r="155">
      <c r="A155" s="22" t="n"/>
      <c r="B155" s="22" t="n"/>
      <c r="E155" s="22" t="n"/>
      <c r="H155" s="22" t="n"/>
      <c r="I155" s="23" t="n"/>
    </row>
    <row r="156">
      <c r="A156" s="22" t="n"/>
      <c r="B156" s="22" t="n"/>
      <c r="E156" s="22" t="n"/>
      <c r="H156" s="22" t="n"/>
      <c r="I156" s="23" t="n"/>
    </row>
    <row r="157">
      <c r="A157" s="22" t="n"/>
      <c r="B157" s="22" t="n"/>
      <c r="E157" s="22" t="n"/>
      <c r="H157" s="22" t="n"/>
      <c r="I157" s="23" t="n"/>
    </row>
    <row r="158">
      <c r="A158" s="22" t="n"/>
      <c r="B158" s="22" t="n"/>
      <c r="E158" s="22" t="n"/>
      <c r="H158" s="22" t="n"/>
      <c r="I158" s="23" t="n"/>
    </row>
    <row r="159">
      <c r="A159" s="22" t="n"/>
      <c r="B159" s="22" t="n"/>
      <c r="E159" s="22" t="n"/>
      <c r="H159" s="22" t="n"/>
      <c r="I159" s="23" t="n"/>
    </row>
    <row r="160">
      <c r="A160" s="22" t="n"/>
      <c r="B160" s="22" t="n"/>
      <c r="E160" s="22" t="n"/>
      <c r="H160" s="22" t="n"/>
      <c r="I160" s="23" t="n"/>
    </row>
    <row r="161">
      <c r="A161" s="22" t="n"/>
      <c r="B161" s="22" t="n"/>
      <c r="E161" s="22" t="n"/>
      <c r="H161" s="22" t="n"/>
      <c r="I161" s="23" t="n"/>
    </row>
    <row r="162">
      <c r="A162" s="22" t="n"/>
      <c r="B162" s="22" t="n"/>
      <c r="E162" s="22" t="n"/>
      <c r="H162" s="22" t="n"/>
      <c r="I162" s="23" t="n"/>
    </row>
    <row r="163">
      <c r="A163" s="22" t="n"/>
      <c r="B163" s="22" t="n"/>
      <c r="E163" s="22" t="n"/>
      <c r="H163" s="22" t="n"/>
      <c r="I163" s="23" t="n"/>
    </row>
    <row r="164">
      <c r="A164" s="22" t="n"/>
      <c r="B164" s="22" t="n"/>
      <c r="E164" s="22" t="n"/>
      <c r="H164" s="22" t="n"/>
      <c r="I164" s="23" t="n"/>
    </row>
    <row r="165">
      <c r="A165" s="22" t="n"/>
      <c r="B165" s="22" t="n"/>
      <c r="E165" s="22" t="n"/>
      <c r="H165" s="22" t="n"/>
      <c r="I165" s="23" t="n"/>
    </row>
    <row r="166">
      <c r="A166" s="22" t="n"/>
      <c r="B166" s="22" t="n"/>
      <c r="E166" s="22" t="n"/>
      <c r="H166" s="22" t="n"/>
      <c r="I166" s="23" t="n"/>
    </row>
    <row r="167">
      <c r="A167" s="22" t="n"/>
      <c r="B167" s="22" t="n"/>
      <c r="E167" s="22" t="n"/>
      <c r="H167" s="22" t="n"/>
      <c r="I167" s="23" t="n"/>
    </row>
    <row r="168">
      <c r="A168" s="22" t="n"/>
      <c r="B168" s="22" t="n"/>
      <c r="E168" s="22" t="n"/>
      <c r="H168" s="22" t="n"/>
      <c r="I168" s="23" t="n"/>
    </row>
    <row r="169">
      <c r="A169" s="22" t="n"/>
      <c r="B169" s="22" t="n"/>
      <c r="E169" s="22" t="n"/>
      <c r="H169" s="22" t="n"/>
      <c r="I169" s="23" t="n"/>
    </row>
    <row r="170">
      <c r="A170" s="22" t="n"/>
      <c r="B170" s="22" t="n"/>
      <c r="E170" s="22" t="n"/>
      <c r="H170" s="22" t="n"/>
      <c r="I170" s="23" t="n"/>
    </row>
    <row r="171">
      <c r="A171" s="22" t="n"/>
      <c r="B171" s="22" t="n"/>
      <c r="E171" s="22" t="n"/>
      <c r="H171" s="22" t="n"/>
      <c r="I171" s="23" t="n"/>
    </row>
    <row r="172">
      <c r="A172" s="22" t="n"/>
      <c r="B172" s="22" t="n"/>
      <c r="E172" s="22" t="n"/>
      <c r="H172" s="22" t="n"/>
      <c r="I172" s="23" t="n"/>
    </row>
    <row r="173">
      <c r="A173" s="22" t="n"/>
      <c r="B173" s="22" t="n"/>
      <c r="E173" s="22" t="n"/>
      <c r="H173" s="22" t="n"/>
      <c r="I173" s="23" t="n"/>
    </row>
    <row r="174">
      <c r="A174" s="22" t="n"/>
      <c r="B174" s="22" t="n"/>
      <c r="E174" s="22" t="n"/>
      <c r="H174" s="22" t="n"/>
      <c r="I174" s="23" t="n"/>
    </row>
    <row r="175">
      <c r="A175" s="22" t="n"/>
      <c r="B175" s="22" t="n"/>
      <c r="E175" s="22" t="n"/>
      <c r="H175" s="22" t="n"/>
      <c r="I175" s="23" t="n"/>
    </row>
    <row r="176">
      <c r="A176" s="22" t="n"/>
      <c r="B176" s="22" t="n"/>
      <c r="E176" s="22" t="n"/>
      <c r="H176" s="22" t="n"/>
      <c r="I176" s="23" t="n"/>
    </row>
    <row r="177">
      <c r="A177" s="22" t="n"/>
      <c r="B177" s="22" t="n"/>
      <c r="E177" s="22" t="n"/>
      <c r="H177" s="22" t="n"/>
      <c r="I177" s="23" t="n"/>
    </row>
    <row r="178">
      <c r="A178" s="22" t="n"/>
      <c r="B178" s="22" t="n"/>
      <c r="E178" s="22" t="n"/>
      <c r="H178" s="22" t="n"/>
      <c r="I178" s="23" t="n"/>
    </row>
    <row r="179">
      <c r="A179" s="22" t="n"/>
      <c r="B179" s="22" t="n"/>
      <c r="E179" s="22" t="n"/>
      <c r="H179" s="22" t="n"/>
      <c r="I179" s="23" t="n"/>
    </row>
    <row r="180">
      <c r="A180" s="22" t="n"/>
      <c r="B180" s="22" t="n"/>
      <c r="E180" s="22" t="n"/>
      <c r="H180" s="22" t="n"/>
      <c r="I180" s="23" t="n"/>
    </row>
    <row r="181">
      <c r="A181" s="22" t="n"/>
      <c r="B181" s="22" t="n"/>
      <c r="E181" s="22" t="n"/>
      <c r="H181" s="22" t="n"/>
      <c r="I181" s="23" t="n"/>
    </row>
    <row r="182">
      <c r="A182" s="22" t="n"/>
      <c r="B182" s="22" t="n"/>
      <c r="E182" s="22" t="n"/>
      <c r="H182" s="22" t="n"/>
      <c r="I182" s="23" t="n"/>
    </row>
    <row r="183">
      <c r="A183" s="22" t="n"/>
      <c r="B183" s="22" t="n"/>
      <c r="E183" s="22" t="n"/>
      <c r="H183" s="22" t="n"/>
      <c r="I183" s="23" t="n"/>
    </row>
    <row r="184">
      <c r="A184" s="22" t="n"/>
      <c r="B184" s="22" t="n"/>
      <c r="E184" s="22" t="n"/>
      <c r="H184" s="22" t="n"/>
      <c r="I184" s="23" t="n"/>
    </row>
    <row r="185">
      <c r="A185" s="22" t="n"/>
      <c r="B185" s="22" t="n"/>
      <c r="E185" s="22" t="n"/>
      <c r="H185" s="22" t="n"/>
      <c r="I185" s="23" t="n"/>
    </row>
    <row r="186">
      <c r="A186" s="22" t="n"/>
      <c r="B186" s="22" t="n"/>
      <c r="E186" s="22" t="n"/>
      <c r="H186" s="22" t="n"/>
      <c r="I186" s="23" t="n"/>
    </row>
    <row r="187">
      <c r="A187" s="22" t="n"/>
      <c r="B187" s="22" t="n"/>
      <c r="E187" s="22" t="n"/>
      <c r="H187" s="22" t="n"/>
      <c r="I187" s="23" t="n"/>
    </row>
    <row r="188">
      <c r="A188" s="22" t="n"/>
      <c r="B188" s="22" t="n"/>
      <c r="E188" s="22" t="n"/>
      <c r="H188" s="22" t="n"/>
      <c r="I188" s="23" t="n"/>
    </row>
    <row r="189">
      <c r="A189" s="22" t="n"/>
      <c r="B189" s="22" t="n"/>
      <c r="E189" s="22" t="n"/>
      <c r="H189" s="22" t="n"/>
      <c r="I189" s="23" t="n"/>
    </row>
    <row r="190">
      <c r="A190" s="22" t="n"/>
      <c r="B190" s="22" t="n"/>
      <c r="E190" s="22" t="n"/>
      <c r="H190" s="22" t="n"/>
      <c r="I190" s="23" t="n"/>
    </row>
    <row r="191">
      <c r="A191" s="22" t="n"/>
      <c r="B191" s="22" t="n"/>
      <c r="E191" s="22" t="n"/>
      <c r="H191" s="22" t="n"/>
      <c r="I191" s="23" t="n"/>
    </row>
    <row r="192">
      <c r="A192" s="22" t="n"/>
      <c r="B192" s="22" t="n"/>
      <c r="E192" s="22" t="n"/>
      <c r="H192" s="22" t="n"/>
      <c r="I192" s="23" t="n"/>
    </row>
    <row r="193">
      <c r="A193" s="22" t="n"/>
      <c r="B193" s="22" t="n"/>
      <c r="E193" s="22" t="n"/>
      <c r="H193" s="22" t="n"/>
      <c r="I193" s="23" t="n"/>
    </row>
    <row r="194">
      <c r="A194" s="22" t="n"/>
      <c r="B194" s="22" t="n"/>
      <c r="E194" s="22" t="n"/>
      <c r="H194" s="22" t="n"/>
      <c r="I194" s="23" t="n"/>
    </row>
    <row r="195">
      <c r="A195" s="22" t="n"/>
      <c r="B195" s="22" t="n"/>
      <c r="E195" s="22" t="n"/>
      <c r="H195" s="22" t="n"/>
      <c r="I195" s="23" t="n"/>
    </row>
    <row r="196">
      <c r="A196" s="22" t="n"/>
      <c r="B196" s="22" t="n"/>
      <c r="E196" s="22" t="n"/>
      <c r="H196" s="22" t="n"/>
      <c r="I196" s="23" t="n"/>
    </row>
    <row r="197">
      <c r="A197" s="22" t="n"/>
      <c r="B197" s="22" t="n"/>
      <c r="E197" s="22" t="n"/>
      <c r="H197" s="22" t="n"/>
      <c r="I197" s="23" t="n"/>
    </row>
    <row r="198">
      <c r="A198" s="22" t="n"/>
      <c r="B198" s="22" t="n"/>
      <c r="E198" s="22" t="n"/>
      <c r="H198" s="22" t="n"/>
      <c r="I198" s="23" t="n"/>
    </row>
    <row r="199">
      <c r="A199" s="22" t="n"/>
      <c r="B199" s="22" t="n"/>
      <c r="E199" s="22" t="n"/>
      <c r="H199" s="22" t="n"/>
      <c r="I199" s="23" t="n"/>
    </row>
  </sheetData>
  <conditionalFormatting sqref="G2:G1000">
    <cfRule type="expression" priority="1" dxfId="0">
      <formula>$G2="good"</formula>
    </cfRule>
    <cfRule type="expression" priority="2" dxfId="2">
      <formula>$G2="mid"</formula>
    </cfRule>
    <cfRule type="expression" priority="3" dxfId="1">
      <formula>$G2="bad"</formula>
    </cfRule>
  </conditionalFormatting>
  <dataValidations count="1">
    <dataValidation sqref="J2:J1000" showDropDown="0" showInputMessage="0" showErrorMessage="0" allowBlank="1" errorTitle="Not in list" error="Pick a value from the list" type="list">
      <formula1>"Y,N"</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99"/>
  <sheetViews>
    <sheetView zoomScale="110" workbookViewId="0">
      <pane xSplit="1" ySplit="1" topLeftCell="B2" activePane="bottomRight" state="frozen"/>
      <selection pane="topRight"/>
      <selection pane="bottomLeft"/>
      <selection pane="bottomRight" activeCell="A1" sqref="A1"/>
    </sheetView>
  </sheetViews>
  <sheetFormatPr baseColWidth="8" defaultRowHeight="15"/>
  <cols>
    <col width="17" customWidth="1" min="1" max="1"/>
    <col width="17.3" customWidth="1" min="2" max="2"/>
    <col width="17.3" customWidth="1" min="3" max="3"/>
    <col width="15.1" customWidth="1" min="4" max="4"/>
    <col width="18" customWidth="1" min="5" max="5"/>
    <col width="16.2" customWidth="1" min="6" max="6"/>
    <col width="14" customWidth="1" min="7" max="7"/>
    <col width="18" customWidth="1" min="8" max="8"/>
    <col width="28" customWidth="1" min="9" max="9"/>
    <col width="11.8" customWidth="1" min="10" max="10"/>
  </cols>
  <sheetData>
    <row r="1" ht="24" customHeight="1">
      <c r="A1" s="24" t="inlineStr">
        <is>
          <t>Animal_Key</t>
        </is>
      </c>
      <c r="B1" s="24" t="inlineStr">
        <is>
          <t>Submission_ID</t>
        </is>
      </c>
      <c r="C1" s="24" t="inlineStr">
        <is>
          <t>Reported_Sire</t>
        </is>
      </c>
      <c r="D1" s="24" t="inlineStr">
        <is>
          <t>Sire_Result</t>
        </is>
      </c>
      <c r="E1" s="24" t="inlineStr">
        <is>
          <t>Sire_Assigned</t>
        </is>
      </c>
      <c r="F1" s="24" t="inlineStr">
        <is>
          <t>Reported_Dam</t>
        </is>
      </c>
      <c r="G1" s="24" t="inlineStr">
        <is>
          <t>Dam_Result</t>
        </is>
      </c>
      <c r="H1" s="24" t="inlineStr">
        <is>
          <t>Dam_Assigned</t>
        </is>
      </c>
      <c r="I1" s="24" t="inlineStr">
        <is>
          <t>Notes</t>
        </is>
      </c>
      <c r="J1" s="16" t="inlineStr">
        <is>
          <t>Released</t>
        </is>
      </c>
    </row>
    <row r="2">
      <c r="A2" s="20" t="inlineStr">
        <is>
          <t>P003-01-26001</t>
        </is>
      </c>
      <c r="B2" s="20" t="inlineStr">
        <is>
          <t>P003-01</t>
        </is>
      </c>
      <c r="C2" s="20" t="inlineStr">
        <is>
          <t>23015</t>
        </is>
      </c>
      <c r="D2" s="17" t="inlineStr">
        <is>
          <t>Confirmed</t>
        </is>
      </c>
      <c r="E2" s="20" t="inlineStr">
        <is>
          <t>610014202323T015</t>
        </is>
      </c>
      <c r="F2" s="20" t="inlineStr"/>
      <c r="G2" s="17" t="inlineStr">
        <is>
          <t>Not genotyped</t>
        </is>
      </c>
      <c r="H2" s="20" t="inlineStr"/>
      <c r="I2" s="17" t="inlineStr"/>
      <c r="J2" s="17" t="inlineStr">
        <is>
          <t>Y</t>
        </is>
      </c>
    </row>
    <row r="3">
      <c r="A3" s="20" t="inlineStr">
        <is>
          <t>P003-01-26002</t>
        </is>
      </c>
      <c r="B3" s="20" t="inlineStr">
        <is>
          <t>P003-01</t>
        </is>
      </c>
      <c r="C3" s="20" t="inlineStr">
        <is>
          <t>23015</t>
        </is>
      </c>
      <c r="D3" s="17" t="inlineStr">
        <is>
          <t>Confirmed</t>
        </is>
      </c>
      <c r="E3" s="20" t="inlineStr">
        <is>
          <t>610014202323T015</t>
        </is>
      </c>
      <c r="F3" s="20" t="inlineStr"/>
      <c r="G3" s="17" t="inlineStr">
        <is>
          <t>Not genotyped</t>
        </is>
      </c>
      <c r="H3" s="20" t="inlineStr"/>
      <c r="I3" s="17" t="inlineStr"/>
      <c r="J3" s="17" t="inlineStr">
        <is>
          <t>Y</t>
        </is>
      </c>
    </row>
    <row r="4">
      <c r="A4" s="20" t="inlineStr">
        <is>
          <t>P003-01-26003</t>
        </is>
      </c>
      <c r="B4" s="20" t="inlineStr">
        <is>
          <t>P003-01</t>
        </is>
      </c>
      <c r="C4" s="20" t="inlineStr">
        <is>
          <t>23015</t>
        </is>
      </c>
      <c r="D4" s="17" t="inlineStr">
        <is>
          <t>Confirmed</t>
        </is>
      </c>
      <c r="E4" s="20" t="inlineStr">
        <is>
          <t>610014202323T015</t>
        </is>
      </c>
      <c r="F4" s="20" t="inlineStr"/>
      <c r="G4" s="17" t="inlineStr">
        <is>
          <t>Not genotyped</t>
        </is>
      </c>
      <c r="H4" s="20" t="inlineStr"/>
      <c r="I4" s="17" t="inlineStr"/>
      <c r="J4" s="17" t="inlineStr">
        <is>
          <t>Y</t>
        </is>
      </c>
    </row>
    <row r="5">
      <c r="A5" s="20" t="inlineStr">
        <is>
          <t>P003-01-26004</t>
        </is>
      </c>
      <c r="B5" s="20" t="inlineStr">
        <is>
          <t>P003-01</t>
        </is>
      </c>
      <c r="C5" s="20" t="inlineStr">
        <is>
          <t>23015</t>
        </is>
      </c>
      <c r="D5" s="17" t="inlineStr">
        <is>
          <t>Confirmed</t>
        </is>
      </c>
      <c r="E5" s="20" t="inlineStr">
        <is>
          <t>610014202323T015</t>
        </is>
      </c>
      <c r="F5" s="20" t="inlineStr"/>
      <c r="G5" s="17" t="inlineStr">
        <is>
          <t>Not genotyped</t>
        </is>
      </c>
      <c r="H5" s="20" t="inlineStr"/>
      <c r="I5" s="17" t="inlineStr"/>
      <c r="J5" s="17" t="inlineStr">
        <is>
          <t>Y</t>
        </is>
      </c>
    </row>
    <row r="6">
      <c r="A6" s="20" t="inlineStr">
        <is>
          <t>P003-01-26005</t>
        </is>
      </c>
      <c r="B6" s="20" t="inlineStr">
        <is>
          <t>P003-01</t>
        </is>
      </c>
      <c r="C6" s="20" t="inlineStr">
        <is>
          <t>23015</t>
        </is>
      </c>
      <c r="D6" s="17" t="inlineStr">
        <is>
          <t>Confirmed</t>
        </is>
      </c>
      <c r="E6" s="20" t="inlineStr">
        <is>
          <t>610014202323T015</t>
        </is>
      </c>
      <c r="F6" s="20" t="inlineStr"/>
      <c r="G6" s="17" t="inlineStr">
        <is>
          <t>Not genotyped</t>
        </is>
      </c>
      <c r="H6" s="20" t="inlineStr"/>
      <c r="I6" s="17" t="inlineStr"/>
      <c r="J6" s="17" t="inlineStr">
        <is>
          <t>Y</t>
        </is>
      </c>
    </row>
    <row r="7">
      <c r="A7" s="20" t="inlineStr">
        <is>
          <t>P003-01-26006</t>
        </is>
      </c>
      <c r="B7" s="20" t="inlineStr">
        <is>
          <t>P003-01</t>
        </is>
      </c>
      <c r="C7" s="20" t="inlineStr">
        <is>
          <t>23015</t>
        </is>
      </c>
      <c r="D7" s="17" t="inlineStr">
        <is>
          <t>Confirmed</t>
        </is>
      </c>
      <c r="E7" s="20" t="inlineStr">
        <is>
          <t>610014202323T015</t>
        </is>
      </c>
      <c r="F7" s="20" t="inlineStr"/>
      <c r="G7" s="17" t="inlineStr">
        <is>
          <t>Not genotyped</t>
        </is>
      </c>
      <c r="H7" s="20" t="inlineStr"/>
      <c r="I7" s="17" t="inlineStr"/>
      <c r="J7" s="17" t="inlineStr">
        <is>
          <t>Y</t>
        </is>
      </c>
    </row>
    <row r="8">
      <c r="A8" s="20" t="inlineStr">
        <is>
          <t>P003-01-26007</t>
        </is>
      </c>
      <c r="B8" s="20" t="inlineStr">
        <is>
          <t>P003-01</t>
        </is>
      </c>
      <c r="C8" s="20" t="inlineStr">
        <is>
          <t>23015</t>
        </is>
      </c>
      <c r="D8" s="17" t="inlineStr">
        <is>
          <t>Pending</t>
        </is>
      </c>
      <c r="E8" s="20" t="inlineStr"/>
      <c r="F8" s="20" t="inlineStr"/>
      <c r="G8" s="17" t="inlineStr">
        <is>
          <t>Pending</t>
        </is>
      </c>
      <c r="H8" s="20" t="inlineStr"/>
      <c r="I8" s="17" t="inlineStr">
        <is>
          <t>Waiting on a new TSU</t>
        </is>
      </c>
      <c r="J8" s="17" t="inlineStr">
        <is>
          <t>N</t>
        </is>
      </c>
    </row>
    <row r="9">
      <c r="A9" s="20" t="inlineStr">
        <is>
          <t>P003-01-26008</t>
        </is>
      </c>
      <c r="B9" s="20" t="inlineStr">
        <is>
          <t>P003-01</t>
        </is>
      </c>
      <c r="C9" s="20" t="inlineStr">
        <is>
          <t>23015</t>
        </is>
      </c>
      <c r="D9" s="17" t="inlineStr">
        <is>
          <t>Confirmed</t>
        </is>
      </c>
      <c r="E9" s="20" t="inlineStr">
        <is>
          <t>610014202323T015</t>
        </is>
      </c>
      <c r="F9" s="20" t="inlineStr"/>
      <c r="G9" s="17" t="inlineStr">
        <is>
          <t>Not genotyped</t>
        </is>
      </c>
      <c r="H9" s="20" t="inlineStr"/>
      <c r="I9" s="17" t="inlineStr"/>
      <c r="J9" s="17" t="inlineStr">
        <is>
          <t>Y</t>
        </is>
      </c>
    </row>
    <row r="10">
      <c r="A10" s="20" t="inlineStr">
        <is>
          <t>P003-01-26009</t>
        </is>
      </c>
      <c r="B10" s="20" t="inlineStr">
        <is>
          <t>P003-01</t>
        </is>
      </c>
      <c r="C10" s="20" t="inlineStr">
        <is>
          <t>23015</t>
        </is>
      </c>
      <c r="D10" s="17" t="inlineStr">
        <is>
          <t>Excluded</t>
        </is>
      </c>
      <c r="E10" s="20" t="inlineStr"/>
      <c r="F10" s="20" t="inlineStr"/>
      <c r="G10" s="17" t="inlineStr">
        <is>
          <t>Not genotyped</t>
        </is>
      </c>
      <c r="H10" s="20" t="inlineStr"/>
      <c r="I10" s="17" t="inlineStr">
        <is>
          <t>No genotyped sire matched</t>
        </is>
      </c>
      <c r="J10" s="17" t="inlineStr">
        <is>
          <t>Y</t>
        </is>
      </c>
    </row>
    <row r="11">
      <c r="A11" s="20" t="inlineStr">
        <is>
          <t>P003-01-26010</t>
        </is>
      </c>
      <c r="B11" s="20" t="inlineStr">
        <is>
          <t>P003-01</t>
        </is>
      </c>
      <c r="C11" s="20" t="inlineStr">
        <is>
          <t>23015</t>
        </is>
      </c>
      <c r="D11" s="17" t="inlineStr">
        <is>
          <t>Confirmed</t>
        </is>
      </c>
      <c r="E11" s="20" t="inlineStr">
        <is>
          <t>610014202323T015</t>
        </is>
      </c>
      <c r="F11" s="20" t="inlineStr"/>
      <c r="G11" s="17" t="inlineStr">
        <is>
          <t>Not genotyped</t>
        </is>
      </c>
      <c r="H11" s="20" t="inlineStr"/>
      <c r="I11" s="17" t="inlineStr"/>
      <c r="J11" s="17" t="inlineStr">
        <is>
          <t>Y</t>
        </is>
      </c>
    </row>
    <row r="12">
      <c r="A12" s="22" t="n"/>
      <c r="B12" s="22" t="n"/>
      <c r="C12" s="22" t="n"/>
      <c r="E12" s="22" t="n"/>
      <c r="F12" s="22" t="n"/>
      <c r="H12" s="22" t="n"/>
    </row>
    <row r="13">
      <c r="A13" s="22" t="n"/>
      <c r="B13" s="22" t="n"/>
      <c r="C13" s="22" t="n"/>
      <c r="E13" s="22" t="n"/>
      <c r="F13" s="22" t="n"/>
      <c r="H13" s="22" t="n"/>
    </row>
    <row r="14">
      <c r="A14" s="22" t="n"/>
      <c r="B14" s="22" t="n"/>
      <c r="C14" s="22" t="n"/>
      <c r="E14" s="22" t="n"/>
      <c r="F14" s="22" t="n"/>
      <c r="H14" s="22" t="n"/>
    </row>
    <row r="15">
      <c r="A15" s="22" t="n"/>
      <c r="B15" s="22" t="n"/>
      <c r="C15" s="22" t="n"/>
      <c r="E15" s="22" t="n"/>
      <c r="F15" s="22" t="n"/>
      <c r="H15" s="22" t="n"/>
    </row>
    <row r="16">
      <c r="A16" s="22" t="n"/>
      <c r="B16" s="22" t="n"/>
      <c r="C16" s="22" t="n"/>
      <c r="E16" s="22" t="n"/>
      <c r="F16" s="22" t="n"/>
      <c r="H16" s="22" t="n"/>
    </row>
    <row r="17">
      <c r="A17" s="22" t="n"/>
      <c r="B17" s="22" t="n"/>
      <c r="C17" s="22" t="n"/>
      <c r="E17" s="22" t="n"/>
      <c r="F17" s="22" t="n"/>
      <c r="H17" s="22" t="n"/>
    </row>
    <row r="18">
      <c r="A18" s="22" t="n"/>
      <c r="B18" s="22" t="n"/>
      <c r="C18" s="22" t="n"/>
      <c r="E18" s="22" t="n"/>
      <c r="F18" s="22" t="n"/>
      <c r="H18" s="22" t="n"/>
    </row>
    <row r="19">
      <c r="A19" s="22" t="n"/>
      <c r="B19" s="22" t="n"/>
      <c r="C19" s="22" t="n"/>
      <c r="E19" s="22" t="n"/>
      <c r="F19" s="22" t="n"/>
      <c r="H19" s="22" t="n"/>
    </row>
    <row r="20">
      <c r="A20" s="22" t="n"/>
      <c r="B20" s="22" t="n"/>
      <c r="C20" s="22" t="n"/>
      <c r="E20" s="22" t="n"/>
      <c r="F20" s="22" t="n"/>
      <c r="H20" s="22" t="n"/>
    </row>
    <row r="21">
      <c r="A21" s="22" t="n"/>
      <c r="B21" s="22" t="n"/>
      <c r="C21" s="22" t="n"/>
      <c r="E21" s="22" t="n"/>
      <c r="F21" s="22" t="n"/>
      <c r="H21" s="22" t="n"/>
    </row>
    <row r="22">
      <c r="A22" s="22" t="n"/>
      <c r="B22" s="22" t="n"/>
      <c r="C22" s="22" t="n"/>
      <c r="E22" s="22" t="n"/>
      <c r="F22" s="22" t="n"/>
      <c r="H22" s="22" t="n"/>
    </row>
    <row r="23">
      <c r="A23" s="22" t="n"/>
      <c r="B23" s="22" t="n"/>
      <c r="C23" s="22" t="n"/>
      <c r="E23" s="22" t="n"/>
      <c r="F23" s="22" t="n"/>
      <c r="H23" s="22" t="n"/>
    </row>
    <row r="24">
      <c r="A24" s="22" t="n"/>
      <c r="B24" s="22" t="n"/>
      <c r="C24" s="22" t="n"/>
      <c r="E24" s="22" t="n"/>
      <c r="F24" s="22" t="n"/>
      <c r="H24" s="22" t="n"/>
    </row>
    <row r="25">
      <c r="A25" s="22" t="n"/>
      <c r="B25" s="22" t="n"/>
      <c r="C25" s="22" t="n"/>
      <c r="E25" s="22" t="n"/>
      <c r="F25" s="22" t="n"/>
      <c r="H25" s="22" t="n"/>
    </row>
    <row r="26">
      <c r="A26" s="22" t="n"/>
      <c r="B26" s="22" t="n"/>
      <c r="C26" s="22" t="n"/>
      <c r="E26" s="22" t="n"/>
      <c r="F26" s="22" t="n"/>
      <c r="H26" s="22" t="n"/>
    </row>
    <row r="27">
      <c r="A27" s="22" t="n"/>
      <c r="B27" s="22" t="n"/>
      <c r="C27" s="22" t="n"/>
      <c r="E27" s="22" t="n"/>
      <c r="F27" s="22" t="n"/>
      <c r="H27" s="22" t="n"/>
    </row>
    <row r="28">
      <c r="A28" s="22" t="n"/>
      <c r="B28" s="22" t="n"/>
      <c r="C28" s="22" t="n"/>
      <c r="E28" s="22" t="n"/>
      <c r="F28" s="22" t="n"/>
      <c r="H28" s="22" t="n"/>
    </row>
    <row r="29">
      <c r="A29" s="22" t="n"/>
      <c r="B29" s="22" t="n"/>
      <c r="C29" s="22" t="n"/>
      <c r="E29" s="22" t="n"/>
      <c r="F29" s="22" t="n"/>
      <c r="H29" s="22" t="n"/>
    </row>
    <row r="30">
      <c r="A30" s="22" t="n"/>
      <c r="B30" s="22" t="n"/>
      <c r="C30" s="22" t="n"/>
      <c r="E30" s="22" t="n"/>
      <c r="F30" s="22" t="n"/>
      <c r="H30" s="22" t="n"/>
    </row>
    <row r="31">
      <c r="A31" s="22" t="n"/>
      <c r="B31" s="22" t="n"/>
      <c r="C31" s="22" t="n"/>
      <c r="E31" s="22" t="n"/>
      <c r="F31" s="22" t="n"/>
      <c r="H31" s="22" t="n"/>
    </row>
    <row r="32">
      <c r="A32" s="22" t="n"/>
      <c r="B32" s="22" t="n"/>
      <c r="C32" s="22" t="n"/>
      <c r="E32" s="22" t="n"/>
      <c r="F32" s="22" t="n"/>
      <c r="H32" s="22" t="n"/>
    </row>
    <row r="33">
      <c r="A33" s="22" t="n"/>
      <c r="B33" s="22" t="n"/>
      <c r="C33" s="22" t="n"/>
      <c r="E33" s="22" t="n"/>
      <c r="F33" s="22" t="n"/>
      <c r="H33" s="22" t="n"/>
    </row>
    <row r="34">
      <c r="A34" s="22" t="n"/>
      <c r="B34" s="22" t="n"/>
      <c r="C34" s="22" t="n"/>
      <c r="E34" s="22" t="n"/>
      <c r="F34" s="22" t="n"/>
      <c r="H34" s="22" t="n"/>
    </row>
    <row r="35">
      <c r="A35" s="22" t="n"/>
      <c r="B35" s="22" t="n"/>
      <c r="C35" s="22" t="n"/>
      <c r="E35" s="22" t="n"/>
      <c r="F35" s="22" t="n"/>
      <c r="H35" s="22" t="n"/>
    </row>
    <row r="36">
      <c r="A36" s="22" t="n"/>
      <c r="B36" s="22" t="n"/>
      <c r="C36" s="22" t="n"/>
      <c r="E36" s="22" t="n"/>
      <c r="F36" s="22" t="n"/>
      <c r="H36" s="22" t="n"/>
    </row>
    <row r="37">
      <c r="A37" s="22" t="n"/>
      <c r="B37" s="22" t="n"/>
      <c r="C37" s="22" t="n"/>
      <c r="E37" s="22" t="n"/>
      <c r="F37" s="22" t="n"/>
      <c r="H37" s="22" t="n"/>
    </row>
    <row r="38">
      <c r="A38" s="22" t="n"/>
      <c r="B38" s="22" t="n"/>
      <c r="C38" s="22" t="n"/>
      <c r="E38" s="22" t="n"/>
      <c r="F38" s="22" t="n"/>
      <c r="H38" s="22" t="n"/>
    </row>
    <row r="39">
      <c r="A39" s="22" t="n"/>
      <c r="B39" s="22" t="n"/>
      <c r="C39" s="22" t="n"/>
      <c r="E39" s="22" t="n"/>
      <c r="F39" s="22" t="n"/>
      <c r="H39" s="22" t="n"/>
    </row>
    <row r="40">
      <c r="A40" s="22" t="n"/>
      <c r="B40" s="22" t="n"/>
      <c r="C40" s="22" t="n"/>
      <c r="E40" s="22" t="n"/>
      <c r="F40" s="22" t="n"/>
      <c r="H40" s="22" t="n"/>
    </row>
    <row r="41">
      <c r="A41" s="22" t="n"/>
      <c r="B41" s="22" t="n"/>
      <c r="C41" s="22" t="n"/>
      <c r="E41" s="22" t="n"/>
      <c r="F41" s="22" t="n"/>
      <c r="H41" s="22" t="n"/>
    </row>
    <row r="42">
      <c r="A42" s="22" t="n"/>
      <c r="B42" s="22" t="n"/>
      <c r="C42" s="22" t="n"/>
      <c r="E42" s="22" t="n"/>
      <c r="F42" s="22" t="n"/>
      <c r="H42" s="22" t="n"/>
    </row>
    <row r="43">
      <c r="A43" s="22" t="n"/>
      <c r="B43" s="22" t="n"/>
      <c r="C43" s="22" t="n"/>
      <c r="E43" s="22" t="n"/>
      <c r="F43" s="22" t="n"/>
      <c r="H43" s="22" t="n"/>
    </row>
    <row r="44">
      <c r="A44" s="22" t="n"/>
      <c r="B44" s="22" t="n"/>
      <c r="C44" s="22" t="n"/>
      <c r="E44" s="22" t="n"/>
      <c r="F44" s="22" t="n"/>
      <c r="H44" s="22" t="n"/>
    </row>
    <row r="45">
      <c r="A45" s="22" t="n"/>
      <c r="B45" s="22" t="n"/>
      <c r="C45" s="22" t="n"/>
      <c r="E45" s="22" t="n"/>
      <c r="F45" s="22" t="n"/>
      <c r="H45" s="22" t="n"/>
    </row>
    <row r="46">
      <c r="A46" s="22" t="n"/>
      <c r="B46" s="22" t="n"/>
      <c r="C46" s="22" t="n"/>
      <c r="E46" s="22" t="n"/>
      <c r="F46" s="22" t="n"/>
      <c r="H46" s="22" t="n"/>
    </row>
    <row r="47">
      <c r="A47" s="22" t="n"/>
      <c r="B47" s="22" t="n"/>
      <c r="C47" s="22" t="n"/>
      <c r="E47" s="22" t="n"/>
      <c r="F47" s="22" t="n"/>
      <c r="H47" s="22" t="n"/>
    </row>
    <row r="48">
      <c r="A48" s="22" t="n"/>
      <c r="B48" s="22" t="n"/>
      <c r="C48" s="22" t="n"/>
      <c r="E48" s="22" t="n"/>
      <c r="F48" s="22" t="n"/>
      <c r="H48" s="22" t="n"/>
    </row>
    <row r="49">
      <c r="A49" s="22" t="n"/>
      <c r="B49" s="22" t="n"/>
      <c r="C49" s="22" t="n"/>
      <c r="E49" s="22" t="n"/>
      <c r="F49" s="22" t="n"/>
      <c r="H49" s="22" t="n"/>
    </row>
    <row r="50">
      <c r="A50" s="22" t="n"/>
      <c r="B50" s="22" t="n"/>
      <c r="C50" s="22" t="n"/>
      <c r="E50" s="22" t="n"/>
      <c r="F50" s="22" t="n"/>
      <c r="H50" s="22" t="n"/>
    </row>
    <row r="51">
      <c r="A51" s="22" t="n"/>
      <c r="B51" s="22" t="n"/>
      <c r="C51" s="22" t="n"/>
      <c r="E51" s="22" t="n"/>
      <c r="F51" s="22" t="n"/>
      <c r="H51" s="22" t="n"/>
    </row>
    <row r="52">
      <c r="A52" s="22" t="n"/>
      <c r="B52" s="22" t="n"/>
      <c r="C52" s="22" t="n"/>
      <c r="E52" s="22" t="n"/>
      <c r="F52" s="22" t="n"/>
      <c r="H52" s="22" t="n"/>
    </row>
    <row r="53">
      <c r="A53" s="22" t="n"/>
      <c r="B53" s="22" t="n"/>
      <c r="C53" s="22" t="n"/>
      <c r="E53" s="22" t="n"/>
      <c r="F53" s="22" t="n"/>
      <c r="H53" s="22" t="n"/>
    </row>
    <row r="54">
      <c r="A54" s="22" t="n"/>
      <c r="B54" s="22" t="n"/>
      <c r="C54" s="22" t="n"/>
      <c r="E54" s="22" t="n"/>
      <c r="F54" s="22" t="n"/>
      <c r="H54" s="22" t="n"/>
    </row>
    <row r="55">
      <c r="A55" s="22" t="n"/>
      <c r="B55" s="22" t="n"/>
      <c r="C55" s="22" t="n"/>
      <c r="E55" s="22" t="n"/>
      <c r="F55" s="22" t="n"/>
      <c r="H55" s="22" t="n"/>
    </row>
    <row r="56">
      <c r="A56" s="22" t="n"/>
      <c r="B56" s="22" t="n"/>
      <c r="C56" s="22" t="n"/>
      <c r="E56" s="22" t="n"/>
      <c r="F56" s="22" t="n"/>
      <c r="H56" s="22" t="n"/>
    </row>
    <row r="57">
      <c r="A57" s="22" t="n"/>
      <c r="B57" s="22" t="n"/>
      <c r="C57" s="22" t="n"/>
      <c r="E57" s="22" t="n"/>
      <c r="F57" s="22" t="n"/>
      <c r="H57" s="22" t="n"/>
    </row>
    <row r="58">
      <c r="A58" s="22" t="n"/>
      <c r="B58" s="22" t="n"/>
      <c r="C58" s="22" t="n"/>
      <c r="E58" s="22" t="n"/>
      <c r="F58" s="22" t="n"/>
      <c r="H58" s="22" t="n"/>
    </row>
    <row r="59">
      <c r="A59" s="22" t="n"/>
      <c r="B59" s="22" t="n"/>
      <c r="C59" s="22" t="n"/>
      <c r="E59" s="22" t="n"/>
      <c r="F59" s="22" t="n"/>
      <c r="H59" s="22" t="n"/>
    </row>
    <row r="60">
      <c r="A60" s="22" t="n"/>
      <c r="B60" s="22" t="n"/>
      <c r="C60" s="22" t="n"/>
      <c r="E60" s="22" t="n"/>
      <c r="F60" s="22" t="n"/>
      <c r="H60" s="22" t="n"/>
    </row>
    <row r="61">
      <c r="A61" s="22" t="n"/>
      <c r="B61" s="22" t="n"/>
      <c r="C61" s="22" t="n"/>
      <c r="E61" s="22" t="n"/>
      <c r="F61" s="22" t="n"/>
      <c r="H61" s="22" t="n"/>
    </row>
    <row r="62">
      <c r="A62" s="22" t="n"/>
      <c r="B62" s="22" t="n"/>
      <c r="C62" s="22" t="n"/>
      <c r="E62" s="22" t="n"/>
      <c r="F62" s="22" t="n"/>
      <c r="H62" s="22" t="n"/>
    </row>
    <row r="63">
      <c r="A63" s="22" t="n"/>
      <c r="B63" s="22" t="n"/>
      <c r="C63" s="22" t="n"/>
      <c r="E63" s="22" t="n"/>
      <c r="F63" s="22" t="n"/>
      <c r="H63" s="22" t="n"/>
    </row>
    <row r="64">
      <c r="A64" s="22" t="n"/>
      <c r="B64" s="22" t="n"/>
      <c r="C64" s="22" t="n"/>
      <c r="E64" s="22" t="n"/>
      <c r="F64" s="22" t="n"/>
      <c r="H64" s="22" t="n"/>
    </row>
    <row r="65">
      <c r="A65" s="22" t="n"/>
      <c r="B65" s="22" t="n"/>
      <c r="C65" s="22" t="n"/>
      <c r="E65" s="22" t="n"/>
      <c r="F65" s="22" t="n"/>
      <c r="H65" s="22" t="n"/>
    </row>
    <row r="66">
      <c r="A66" s="22" t="n"/>
      <c r="B66" s="22" t="n"/>
      <c r="C66" s="22" t="n"/>
      <c r="E66" s="22" t="n"/>
      <c r="F66" s="22" t="n"/>
      <c r="H66" s="22" t="n"/>
    </row>
    <row r="67">
      <c r="A67" s="22" t="n"/>
      <c r="B67" s="22" t="n"/>
      <c r="C67" s="22" t="n"/>
      <c r="E67" s="22" t="n"/>
      <c r="F67" s="22" t="n"/>
      <c r="H67" s="22" t="n"/>
    </row>
    <row r="68">
      <c r="A68" s="22" t="n"/>
      <c r="B68" s="22" t="n"/>
      <c r="C68" s="22" t="n"/>
      <c r="E68" s="22" t="n"/>
      <c r="F68" s="22" t="n"/>
      <c r="H68" s="22" t="n"/>
    </row>
    <row r="69">
      <c r="A69" s="22" t="n"/>
      <c r="B69" s="22" t="n"/>
      <c r="C69" s="22" t="n"/>
      <c r="E69" s="22" t="n"/>
      <c r="F69" s="22" t="n"/>
      <c r="H69" s="22" t="n"/>
    </row>
    <row r="70">
      <c r="A70" s="22" t="n"/>
      <c r="B70" s="22" t="n"/>
      <c r="C70" s="22" t="n"/>
      <c r="E70" s="22" t="n"/>
      <c r="F70" s="22" t="n"/>
      <c r="H70" s="22" t="n"/>
    </row>
    <row r="71">
      <c r="A71" s="22" t="n"/>
      <c r="B71" s="22" t="n"/>
      <c r="C71" s="22" t="n"/>
      <c r="E71" s="22" t="n"/>
      <c r="F71" s="22" t="n"/>
      <c r="H71" s="22" t="n"/>
    </row>
    <row r="72">
      <c r="A72" s="22" t="n"/>
      <c r="B72" s="22" t="n"/>
      <c r="C72" s="22" t="n"/>
      <c r="E72" s="22" t="n"/>
      <c r="F72" s="22" t="n"/>
      <c r="H72" s="22" t="n"/>
    </row>
    <row r="73">
      <c r="A73" s="22" t="n"/>
      <c r="B73" s="22" t="n"/>
      <c r="C73" s="22" t="n"/>
      <c r="E73" s="22" t="n"/>
      <c r="F73" s="22" t="n"/>
      <c r="H73" s="22" t="n"/>
    </row>
    <row r="74">
      <c r="A74" s="22" t="n"/>
      <c r="B74" s="22" t="n"/>
      <c r="C74" s="22" t="n"/>
      <c r="E74" s="22" t="n"/>
      <c r="F74" s="22" t="n"/>
      <c r="H74" s="22" t="n"/>
    </row>
    <row r="75">
      <c r="A75" s="22" t="n"/>
      <c r="B75" s="22" t="n"/>
      <c r="C75" s="22" t="n"/>
      <c r="E75" s="22" t="n"/>
      <c r="F75" s="22" t="n"/>
      <c r="H75" s="22" t="n"/>
    </row>
    <row r="76">
      <c r="A76" s="22" t="n"/>
      <c r="B76" s="22" t="n"/>
      <c r="C76" s="22" t="n"/>
      <c r="E76" s="22" t="n"/>
      <c r="F76" s="22" t="n"/>
      <c r="H76" s="22" t="n"/>
    </row>
    <row r="77">
      <c r="A77" s="22" t="n"/>
      <c r="B77" s="22" t="n"/>
      <c r="C77" s="22" t="n"/>
      <c r="E77" s="22" t="n"/>
      <c r="F77" s="22" t="n"/>
      <c r="H77" s="22" t="n"/>
    </row>
    <row r="78">
      <c r="A78" s="22" t="n"/>
      <c r="B78" s="22" t="n"/>
      <c r="C78" s="22" t="n"/>
      <c r="E78" s="22" t="n"/>
      <c r="F78" s="22" t="n"/>
      <c r="H78" s="22" t="n"/>
    </row>
    <row r="79">
      <c r="A79" s="22" t="n"/>
      <c r="B79" s="22" t="n"/>
      <c r="C79" s="22" t="n"/>
      <c r="E79" s="22" t="n"/>
      <c r="F79" s="22" t="n"/>
      <c r="H79" s="22" t="n"/>
    </row>
    <row r="80">
      <c r="A80" s="22" t="n"/>
      <c r="B80" s="22" t="n"/>
      <c r="C80" s="22" t="n"/>
      <c r="E80" s="22" t="n"/>
      <c r="F80" s="22" t="n"/>
      <c r="H80" s="22" t="n"/>
    </row>
    <row r="81">
      <c r="A81" s="22" t="n"/>
      <c r="B81" s="22" t="n"/>
      <c r="C81" s="22" t="n"/>
      <c r="E81" s="22" t="n"/>
      <c r="F81" s="22" t="n"/>
      <c r="H81" s="22" t="n"/>
    </row>
    <row r="82">
      <c r="A82" s="22" t="n"/>
      <c r="B82" s="22" t="n"/>
      <c r="C82" s="22" t="n"/>
      <c r="E82" s="22" t="n"/>
      <c r="F82" s="22" t="n"/>
      <c r="H82" s="22" t="n"/>
    </row>
    <row r="83">
      <c r="A83" s="22" t="n"/>
      <c r="B83" s="22" t="n"/>
      <c r="C83" s="22" t="n"/>
      <c r="E83" s="22" t="n"/>
      <c r="F83" s="22" t="n"/>
      <c r="H83" s="22" t="n"/>
    </row>
    <row r="84">
      <c r="A84" s="22" t="n"/>
      <c r="B84" s="22" t="n"/>
      <c r="C84" s="22" t="n"/>
      <c r="E84" s="22" t="n"/>
      <c r="F84" s="22" t="n"/>
      <c r="H84" s="22" t="n"/>
    </row>
    <row r="85">
      <c r="A85" s="22" t="n"/>
      <c r="B85" s="22" t="n"/>
      <c r="C85" s="22" t="n"/>
      <c r="E85" s="22" t="n"/>
      <c r="F85" s="22" t="n"/>
      <c r="H85" s="22" t="n"/>
    </row>
    <row r="86">
      <c r="A86" s="22" t="n"/>
      <c r="B86" s="22" t="n"/>
      <c r="C86" s="22" t="n"/>
      <c r="E86" s="22" t="n"/>
      <c r="F86" s="22" t="n"/>
      <c r="H86" s="22" t="n"/>
    </row>
    <row r="87">
      <c r="A87" s="22" t="n"/>
      <c r="B87" s="22" t="n"/>
      <c r="C87" s="22" t="n"/>
      <c r="E87" s="22" t="n"/>
      <c r="F87" s="22" t="n"/>
      <c r="H87" s="22" t="n"/>
    </row>
    <row r="88">
      <c r="A88" s="22" t="n"/>
      <c r="B88" s="22" t="n"/>
      <c r="C88" s="22" t="n"/>
      <c r="E88" s="22" t="n"/>
      <c r="F88" s="22" t="n"/>
      <c r="H88" s="22" t="n"/>
    </row>
    <row r="89">
      <c r="A89" s="22" t="n"/>
      <c r="B89" s="22" t="n"/>
      <c r="C89" s="22" t="n"/>
      <c r="E89" s="22" t="n"/>
      <c r="F89" s="22" t="n"/>
      <c r="H89" s="22" t="n"/>
    </row>
    <row r="90">
      <c r="A90" s="22" t="n"/>
      <c r="B90" s="22" t="n"/>
      <c r="C90" s="22" t="n"/>
      <c r="E90" s="22" t="n"/>
      <c r="F90" s="22" t="n"/>
      <c r="H90" s="22" t="n"/>
    </row>
    <row r="91">
      <c r="A91" s="22" t="n"/>
      <c r="B91" s="22" t="n"/>
      <c r="C91" s="22" t="n"/>
      <c r="E91" s="22" t="n"/>
      <c r="F91" s="22" t="n"/>
      <c r="H91" s="22" t="n"/>
    </row>
    <row r="92">
      <c r="A92" s="22" t="n"/>
      <c r="B92" s="22" t="n"/>
      <c r="C92" s="22" t="n"/>
      <c r="E92" s="22" t="n"/>
      <c r="F92" s="22" t="n"/>
      <c r="H92" s="22" t="n"/>
    </row>
    <row r="93">
      <c r="A93" s="22" t="n"/>
      <c r="B93" s="22" t="n"/>
      <c r="C93" s="22" t="n"/>
      <c r="E93" s="22" t="n"/>
      <c r="F93" s="22" t="n"/>
      <c r="H93" s="22" t="n"/>
    </row>
    <row r="94">
      <c r="A94" s="22" t="n"/>
      <c r="B94" s="22" t="n"/>
      <c r="C94" s="22" t="n"/>
      <c r="E94" s="22" t="n"/>
      <c r="F94" s="22" t="n"/>
      <c r="H94" s="22" t="n"/>
    </row>
    <row r="95">
      <c r="A95" s="22" t="n"/>
      <c r="B95" s="22" t="n"/>
      <c r="C95" s="22" t="n"/>
      <c r="E95" s="22" t="n"/>
      <c r="F95" s="22" t="n"/>
      <c r="H95" s="22" t="n"/>
    </row>
    <row r="96">
      <c r="A96" s="22" t="n"/>
      <c r="B96" s="22" t="n"/>
      <c r="C96" s="22" t="n"/>
      <c r="E96" s="22" t="n"/>
      <c r="F96" s="22" t="n"/>
      <c r="H96" s="22" t="n"/>
    </row>
    <row r="97">
      <c r="A97" s="22" t="n"/>
      <c r="B97" s="22" t="n"/>
      <c r="C97" s="22" t="n"/>
      <c r="E97" s="22" t="n"/>
      <c r="F97" s="22" t="n"/>
      <c r="H97" s="22" t="n"/>
    </row>
    <row r="98">
      <c r="A98" s="22" t="n"/>
      <c r="B98" s="22" t="n"/>
      <c r="C98" s="22" t="n"/>
      <c r="E98" s="22" t="n"/>
      <c r="F98" s="22" t="n"/>
      <c r="H98" s="22" t="n"/>
    </row>
    <row r="99">
      <c r="A99" s="22" t="n"/>
      <c r="B99" s="22" t="n"/>
      <c r="C99" s="22" t="n"/>
      <c r="E99" s="22" t="n"/>
      <c r="F99" s="22" t="n"/>
      <c r="H99" s="22" t="n"/>
    </row>
    <row r="100">
      <c r="A100" s="22" t="n"/>
      <c r="B100" s="22" t="n"/>
      <c r="C100" s="22" t="n"/>
      <c r="E100" s="22" t="n"/>
      <c r="F100" s="22" t="n"/>
      <c r="H100" s="22" t="n"/>
    </row>
    <row r="101">
      <c r="A101" s="22" t="n"/>
      <c r="B101" s="22" t="n"/>
      <c r="C101" s="22" t="n"/>
      <c r="E101" s="22" t="n"/>
      <c r="F101" s="22" t="n"/>
      <c r="H101" s="22" t="n"/>
    </row>
    <row r="102">
      <c r="A102" s="22" t="n"/>
      <c r="B102" s="22" t="n"/>
      <c r="C102" s="22" t="n"/>
      <c r="E102" s="22" t="n"/>
      <c r="F102" s="22" t="n"/>
      <c r="H102" s="22" t="n"/>
    </row>
    <row r="103">
      <c r="A103" s="22" t="n"/>
      <c r="B103" s="22" t="n"/>
      <c r="C103" s="22" t="n"/>
      <c r="E103" s="22" t="n"/>
      <c r="F103" s="22" t="n"/>
      <c r="H103" s="22" t="n"/>
    </row>
    <row r="104">
      <c r="A104" s="22" t="n"/>
      <c r="B104" s="22" t="n"/>
      <c r="C104" s="22" t="n"/>
      <c r="E104" s="22" t="n"/>
      <c r="F104" s="22" t="n"/>
      <c r="H104" s="22" t="n"/>
    </row>
    <row r="105">
      <c r="A105" s="22" t="n"/>
      <c r="B105" s="22" t="n"/>
      <c r="C105" s="22" t="n"/>
      <c r="E105" s="22" t="n"/>
      <c r="F105" s="22" t="n"/>
      <c r="H105" s="22" t="n"/>
    </row>
    <row r="106">
      <c r="A106" s="22" t="n"/>
      <c r="B106" s="22" t="n"/>
      <c r="C106" s="22" t="n"/>
      <c r="E106" s="22" t="n"/>
      <c r="F106" s="22" t="n"/>
      <c r="H106" s="22" t="n"/>
    </row>
    <row r="107">
      <c r="A107" s="22" t="n"/>
      <c r="B107" s="22" t="n"/>
      <c r="C107" s="22" t="n"/>
      <c r="E107" s="22" t="n"/>
      <c r="F107" s="22" t="n"/>
      <c r="H107" s="22" t="n"/>
    </row>
    <row r="108">
      <c r="A108" s="22" t="n"/>
      <c r="B108" s="22" t="n"/>
      <c r="C108" s="22" t="n"/>
      <c r="E108" s="22" t="n"/>
      <c r="F108" s="22" t="n"/>
      <c r="H108" s="22" t="n"/>
    </row>
    <row r="109">
      <c r="A109" s="22" t="n"/>
      <c r="B109" s="22" t="n"/>
      <c r="C109" s="22" t="n"/>
      <c r="E109" s="22" t="n"/>
      <c r="F109" s="22" t="n"/>
      <c r="H109" s="22" t="n"/>
    </row>
    <row r="110">
      <c r="A110" s="22" t="n"/>
      <c r="B110" s="22" t="n"/>
      <c r="C110" s="22" t="n"/>
      <c r="E110" s="22" t="n"/>
      <c r="F110" s="22" t="n"/>
      <c r="H110" s="22" t="n"/>
    </row>
    <row r="111">
      <c r="A111" s="22" t="n"/>
      <c r="B111" s="22" t="n"/>
      <c r="C111" s="22" t="n"/>
      <c r="E111" s="22" t="n"/>
      <c r="F111" s="22" t="n"/>
      <c r="H111" s="22" t="n"/>
    </row>
    <row r="112">
      <c r="A112" s="22" t="n"/>
      <c r="B112" s="22" t="n"/>
      <c r="C112" s="22" t="n"/>
      <c r="E112" s="22" t="n"/>
      <c r="F112" s="22" t="n"/>
      <c r="H112" s="22" t="n"/>
    </row>
    <row r="113">
      <c r="A113" s="22" t="n"/>
      <c r="B113" s="22" t="n"/>
      <c r="C113" s="22" t="n"/>
      <c r="E113" s="22" t="n"/>
      <c r="F113" s="22" t="n"/>
      <c r="H113" s="22" t="n"/>
    </row>
    <row r="114">
      <c r="A114" s="22" t="n"/>
      <c r="B114" s="22" t="n"/>
      <c r="C114" s="22" t="n"/>
      <c r="E114" s="22" t="n"/>
      <c r="F114" s="22" t="n"/>
      <c r="H114" s="22" t="n"/>
    </row>
    <row r="115">
      <c r="A115" s="22" t="n"/>
      <c r="B115" s="22" t="n"/>
      <c r="C115" s="22" t="n"/>
      <c r="E115" s="22" t="n"/>
      <c r="F115" s="22" t="n"/>
      <c r="H115" s="22" t="n"/>
    </row>
    <row r="116">
      <c r="A116" s="22" t="n"/>
      <c r="B116" s="22" t="n"/>
      <c r="C116" s="22" t="n"/>
      <c r="E116" s="22" t="n"/>
      <c r="F116" s="22" t="n"/>
      <c r="H116" s="22" t="n"/>
    </row>
    <row r="117">
      <c r="A117" s="22" t="n"/>
      <c r="B117" s="22" t="n"/>
      <c r="C117" s="22" t="n"/>
      <c r="E117" s="22" t="n"/>
      <c r="F117" s="22" t="n"/>
      <c r="H117" s="22" t="n"/>
    </row>
    <row r="118">
      <c r="A118" s="22" t="n"/>
      <c r="B118" s="22" t="n"/>
      <c r="C118" s="22" t="n"/>
      <c r="E118" s="22" t="n"/>
      <c r="F118" s="22" t="n"/>
      <c r="H118" s="22" t="n"/>
    </row>
    <row r="119">
      <c r="A119" s="22" t="n"/>
      <c r="B119" s="22" t="n"/>
      <c r="C119" s="22" t="n"/>
      <c r="E119" s="22" t="n"/>
      <c r="F119" s="22" t="n"/>
      <c r="H119" s="22" t="n"/>
    </row>
    <row r="120">
      <c r="A120" s="22" t="n"/>
      <c r="B120" s="22" t="n"/>
      <c r="C120" s="22" t="n"/>
      <c r="E120" s="22" t="n"/>
      <c r="F120" s="22" t="n"/>
      <c r="H120" s="22" t="n"/>
    </row>
    <row r="121">
      <c r="A121" s="22" t="n"/>
      <c r="B121" s="22" t="n"/>
      <c r="C121" s="22" t="n"/>
      <c r="E121" s="22" t="n"/>
      <c r="F121" s="22" t="n"/>
      <c r="H121" s="22" t="n"/>
    </row>
    <row r="122">
      <c r="A122" s="22" t="n"/>
      <c r="B122" s="22" t="n"/>
      <c r="C122" s="22" t="n"/>
      <c r="E122" s="22" t="n"/>
      <c r="F122" s="22" t="n"/>
      <c r="H122" s="22" t="n"/>
    </row>
    <row r="123">
      <c r="A123" s="22" t="n"/>
      <c r="B123" s="22" t="n"/>
      <c r="C123" s="22" t="n"/>
      <c r="E123" s="22" t="n"/>
      <c r="F123" s="22" t="n"/>
      <c r="H123" s="22" t="n"/>
    </row>
    <row r="124">
      <c r="A124" s="22" t="n"/>
      <c r="B124" s="22" t="n"/>
      <c r="C124" s="22" t="n"/>
      <c r="E124" s="22" t="n"/>
      <c r="F124" s="22" t="n"/>
      <c r="H124" s="22" t="n"/>
    </row>
    <row r="125">
      <c r="A125" s="22" t="n"/>
      <c r="B125" s="22" t="n"/>
      <c r="C125" s="22" t="n"/>
      <c r="E125" s="22" t="n"/>
      <c r="F125" s="22" t="n"/>
      <c r="H125" s="22" t="n"/>
    </row>
    <row r="126">
      <c r="A126" s="22" t="n"/>
      <c r="B126" s="22" t="n"/>
      <c r="C126" s="22" t="n"/>
      <c r="E126" s="22" t="n"/>
      <c r="F126" s="22" t="n"/>
      <c r="H126" s="22" t="n"/>
    </row>
    <row r="127">
      <c r="A127" s="22" t="n"/>
      <c r="B127" s="22" t="n"/>
      <c r="C127" s="22" t="n"/>
      <c r="E127" s="22" t="n"/>
      <c r="F127" s="22" t="n"/>
      <c r="H127" s="22" t="n"/>
    </row>
    <row r="128">
      <c r="A128" s="22" t="n"/>
      <c r="B128" s="22" t="n"/>
      <c r="C128" s="22" t="n"/>
      <c r="E128" s="22" t="n"/>
      <c r="F128" s="22" t="n"/>
      <c r="H128" s="22" t="n"/>
    </row>
    <row r="129">
      <c r="A129" s="22" t="n"/>
      <c r="B129" s="22" t="n"/>
      <c r="C129" s="22" t="n"/>
      <c r="E129" s="22" t="n"/>
      <c r="F129" s="22" t="n"/>
      <c r="H129" s="22" t="n"/>
    </row>
    <row r="130">
      <c r="A130" s="22" t="n"/>
      <c r="B130" s="22" t="n"/>
      <c r="C130" s="22" t="n"/>
      <c r="E130" s="22" t="n"/>
      <c r="F130" s="22" t="n"/>
      <c r="H130" s="22" t="n"/>
    </row>
    <row r="131">
      <c r="A131" s="22" t="n"/>
      <c r="B131" s="22" t="n"/>
      <c r="C131" s="22" t="n"/>
      <c r="E131" s="22" t="n"/>
      <c r="F131" s="22" t="n"/>
      <c r="H131" s="22" t="n"/>
    </row>
    <row r="132">
      <c r="A132" s="22" t="n"/>
      <c r="B132" s="22" t="n"/>
      <c r="C132" s="22" t="n"/>
      <c r="E132" s="22" t="n"/>
      <c r="F132" s="22" t="n"/>
      <c r="H132" s="22" t="n"/>
    </row>
    <row r="133">
      <c r="A133" s="22" t="n"/>
      <c r="B133" s="22" t="n"/>
      <c r="C133" s="22" t="n"/>
      <c r="E133" s="22" t="n"/>
      <c r="F133" s="22" t="n"/>
      <c r="H133" s="22" t="n"/>
    </row>
    <row r="134">
      <c r="A134" s="22" t="n"/>
      <c r="B134" s="22" t="n"/>
      <c r="C134" s="22" t="n"/>
      <c r="E134" s="22" t="n"/>
      <c r="F134" s="22" t="n"/>
      <c r="H134" s="22" t="n"/>
    </row>
    <row r="135">
      <c r="A135" s="22" t="n"/>
      <c r="B135" s="22" t="n"/>
      <c r="C135" s="22" t="n"/>
      <c r="E135" s="22" t="n"/>
      <c r="F135" s="22" t="n"/>
      <c r="H135" s="22" t="n"/>
    </row>
    <row r="136">
      <c r="A136" s="22" t="n"/>
      <c r="B136" s="22" t="n"/>
      <c r="C136" s="22" t="n"/>
      <c r="E136" s="22" t="n"/>
      <c r="F136" s="22" t="n"/>
      <c r="H136" s="22" t="n"/>
    </row>
    <row r="137">
      <c r="A137" s="22" t="n"/>
      <c r="B137" s="22" t="n"/>
      <c r="C137" s="22" t="n"/>
      <c r="E137" s="22" t="n"/>
      <c r="F137" s="22" t="n"/>
      <c r="H137" s="22" t="n"/>
    </row>
    <row r="138">
      <c r="A138" s="22" t="n"/>
      <c r="B138" s="22" t="n"/>
      <c r="C138" s="22" t="n"/>
      <c r="E138" s="22" t="n"/>
      <c r="F138" s="22" t="n"/>
      <c r="H138" s="22" t="n"/>
    </row>
    <row r="139">
      <c r="A139" s="22" t="n"/>
      <c r="B139" s="22" t="n"/>
      <c r="C139" s="22" t="n"/>
      <c r="E139" s="22" t="n"/>
      <c r="F139" s="22" t="n"/>
      <c r="H139" s="22" t="n"/>
    </row>
    <row r="140">
      <c r="A140" s="22" t="n"/>
      <c r="B140" s="22" t="n"/>
      <c r="C140" s="22" t="n"/>
      <c r="E140" s="22" t="n"/>
      <c r="F140" s="22" t="n"/>
      <c r="H140" s="22" t="n"/>
    </row>
    <row r="141">
      <c r="A141" s="22" t="n"/>
      <c r="B141" s="22" t="n"/>
      <c r="C141" s="22" t="n"/>
      <c r="E141" s="22" t="n"/>
      <c r="F141" s="22" t="n"/>
      <c r="H141" s="22" t="n"/>
    </row>
    <row r="142">
      <c r="A142" s="22" t="n"/>
      <c r="B142" s="22" t="n"/>
      <c r="C142" s="22" t="n"/>
      <c r="E142" s="22" t="n"/>
      <c r="F142" s="22" t="n"/>
      <c r="H142" s="22" t="n"/>
    </row>
    <row r="143">
      <c r="A143" s="22" t="n"/>
      <c r="B143" s="22" t="n"/>
      <c r="C143" s="22" t="n"/>
      <c r="E143" s="22" t="n"/>
      <c r="F143" s="22" t="n"/>
      <c r="H143" s="22" t="n"/>
    </row>
    <row r="144">
      <c r="A144" s="22" t="n"/>
      <c r="B144" s="22" t="n"/>
      <c r="C144" s="22" t="n"/>
      <c r="E144" s="22" t="n"/>
      <c r="F144" s="22" t="n"/>
      <c r="H144" s="22" t="n"/>
    </row>
    <row r="145">
      <c r="A145" s="22" t="n"/>
      <c r="B145" s="22" t="n"/>
      <c r="C145" s="22" t="n"/>
      <c r="E145" s="22" t="n"/>
      <c r="F145" s="22" t="n"/>
      <c r="H145" s="22" t="n"/>
    </row>
    <row r="146">
      <c r="A146" s="22" t="n"/>
      <c r="B146" s="22" t="n"/>
      <c r="C146" s="22" t="n"/>
      <c r="E146" s="22" t="n"/>
      <c r="F146" s="22" t="n"/>
      <c r="H146" s="22" t="n"/>
    </row>
    <row r="147">
      <c r="A147" s="22" t="n"/>
      <c r="B147" s="22" t="n"/>
      <c r="C147" s="22" t="n"/>
      <c r="E147" s="22" t="n"/>
      <c r="F147" s="22" t="n"/>
      <c r="H147" s="22" t="n"/>
    </row>
    <row r="148">
      <c r="A148" s="22" t="n"/>
      <c r="B148" s="22" t="n"/>
      <c r="C148" s="22" t="n"/>
      <c r="E148" s="22" t="n"/>
      <c r="F148" s="22" t="n"/>
      <c r="H148" s="22" t="n"/>
    </row>
    <row r="149">
      <c r="A149" s="22" t="n"/>
      <c r="B149" s="22" t="n"/>
      <c r="C149" s="22" t="n"/>
      <c r="E149" s="22" t="n"/>
      <c r="F149" s="22" t="n"/>
      <c r="H149" s="22" t="n"/>
    </row>
    <row r="150">
      <c r="A150" s="22" t="n"/>
      <c r="B150" s="22" t="n"/>
      <c r="C150" s="22" t="n"/>
      <c r="E150" s="22" t="n"/>
      <c r="F150" s="22" t="n"/>
      <c r="H150" s="22" t="n"/>
    </row>
    <row r="151">
      <c r="A151" s="22" t="n"/>
      <c r="B151" s="22" t="n"/>
      <c r="C151" s="22" t="n"/>
      <c r="E151" s="22" t="n"/>
      <c r="F151" s="22" t="n"/>
      <c r="H151" s="22" t="n"/>
    </row>
    <row r="152">
      <c r="A152" s="22" t="n"/>
      <c r="B152" s="22" t="n"/>
      <c r="C152" s="22" t="n"/>
      <c r="E152" s="22" t="n"/>
      <c r="F152" s="22" t="n"/>
      <c r="H152" s="22" t="n"/>
    </row>
    <row r="153">
      <c r="A153" s="22" t="n"/>
      <c r="B153" s="22" t="n"/>
      <c r="C153" s="22" t="n"/>
      <c r="E153" s="22" t="n"/>
      <c r="F153" s="22" t="n"/>
      <c r="H153" s="22" t="n"/>
    </row>
    <row r="154">
      <c r="A154" s="22" t="n"/>
      <c r="B154" s="22" t="n"/>
      <c r="C154" s="22" t="n"/>
      <c r="E154" s="22" t="n"/>
      <c r="F154" s="22" t="n"/>
      <c r="H154" s="22" t="n"/>
    </row>
    <row r="155">
      <c r="A155" s="22" t="n"/>
      <c r="B155" s="22" t="n"/>
      <c r="C155" s="22" t="n"/>
      <c r="E155" s="22" t="n"/>
      <c r="F155" s="22" t="n"/>
      <c r="H155" s="22" t="n"/>
    </row>
    <row r="156">
      <c r="A156" s="22" t="n"/>
      <c r="B156" s="22" t="n"/>
      <c r="C156" s="22" t="n"/>
      <c r="E156" s="22" t="n"/>
      <c r="F156" s="22" t="n"/>
      <c r="H156" s="22" t="n"/>
    </row>
    <row r="157">
      <c r="A157" s="22" t="n"/>
      <c r="B157" s="22" t="n"/>
      <c r="C157" s="22" t="n"/>
      <c r="E157" s="22" t="n"/>
      <c r="F157" s="22" t="n"/>
      <c r="H157" s="22" t="n"/>
    </row>
    <row r="158">
      <c r="A158" s="22" t="n"/>
      <c r="B158" s="22" t="n"/>
      <c r="C158" s="22" t="n"/>
      <c r="E158" s="22" t="n"/>
      <c r="F158" s="22" t="n"/>
      <c r="H158" s="22" t="n"/>
    </row>
    <row r="159">
      <c r="A159" s="22" t="n"/>
      <c r="B159" s="22" t="n"/>
      <c r="C159" s="22" t="n"/>
      <c r="E159" s="22" t="n"/>
      <c r="F159" s="22" t="n"/>
      <c r="H159" s="22" t="n"/>
    </row>
    <row r="160">
      <c r="A160" s="22" t="n"/>
      <c r="B160" s="22" t="n"/>
      <c r="C160" s="22" t="n"/>
      <c r="E160" s="22" t="n"/>
      <c r="F160" s="22" t="n"/>
      <c r="H160" s="22" t="n"/>
    </row>
    <row r="161">
      <c r="A161" s="22" t="n"/>
      <c r="B161" s="22" t="n"/>
      <c r="C161" s="22" t="n"/>
      <c r="E161" s="22" t="n"/>
      <c r="F161" s="22" t="n"/>
      <c r="H161" s="22" t="n"/>
    </row>
    <row r="162">
      <c r="A162" s="22" t="n"/>
      <c r="B162" s="22" t="n"/>
      <c r="C162" s="22" t="n"/>
      <c r="E162" s="22" t="n"/>
      <c r="F162" s="22" t="n"/>
      <c r="H162" s="22" t="n"/>
    </row>
    <row r="163">
      <c r="A163" s="22" t="n"/>
      <c r="B163" s="22" t="n"/>
      <c r="C163" s="22" t="n"/>
      <c r="E163" s="22" t="n"/>
      <c r="F163" s="22" t="n"/>
      <c r="H163" s="22" t="n"/>
    </row>
    <row r="164">
      <c r="A164" s="22" t="n"/>
      <c r="B164" s="22" t="n"/>
      <c r="C164" s="22" t="n"/>
      <c r="E164" s="22" t="n"/>
      <c r="F164" s="22" t="n"/>
      <c r="H164" s="22" t="n"/>
    </row>
    <row r="165">
      <c r="A165" s="22" t="n"/>
      <c r="B165" s="22" t="n"/>
      <c r="C165" s="22" t="n"/>
      <c r="E165" s="22" t="n"/>
      <c r="F165" s="22" t="n"/>
      <c r="H165" s="22" t="n"/>
    </row>
    <row r="166">
      <c r="A166" s="22" t="n"/>
      <c r="B166" s="22" t="n"/>
      <c r="C166" s="22" t="n"/>
      <c r="E166" s="22" t="n"/>
      <c r="F166" s="22" t="n"/>
      <c r="H166" s="22" t="n"/>
    </row>
    <row r="167">
      <c r="A167" s="22" t="n"/>
      <c r="B167" s="22" t="n"/>
      <c r="C167" s="22" t="n"/>
      <c r="E167" s="22" t="n"/>
      <c r="F167" s="22" t="n"/>
      <c r="H167" s="22" t="n"/>
    </row>
    <row r="168">
      <c r="A168" s="22" t="n"/>
      <c r="B168" s="22" t="n"/>
      <c r="C168" s="22" t="n"/>
      <c r="E168" s="22" t="n"/>
      <c r="F168" s="22" t="n"/>
      <c r="H168" s="22" t="n"/>
    </row>
    <row r="169">
      <c r="A169" s="22" t="n"/>
      <c r="B169" s="22" t="n"/>
      <c r="C169" s="22" t="n"/>
      <c r="E169" s="22" t="n"/>
      <c r="F169" s="22" t="n"/>
      <c r="H169" s="22" t="n"/>
    </row>
    <row r="170">
      <c r="A170" s="22" t="n"/>
      <c r="B170" s="22" t="n"/>
      <c r="C170" s="22" t="n"/>
      <c r="E170" s="22" t="n"/>
      <c r="F170" s="22" t="n"/>
      <c r="H170" s="22" t="n"/>
    </row>
    <row r="171">
      <c r="A171" s="22" t="n"/>
      <c r="B171" s="22" t="n"/>
      <c r="C171" s="22" t="n"/>
      <c r="E171" s="22" t="n"/>
      <c r="F171" s="22" t="n"/>
      <c r="H171" s="22" t="n"/>
    </row>
    <row r="172">
      <c r="A172" s="22" t="n"/>
      <c r="B172" s="22" t="n"/>
      <c r="C172" s="22" t="n"/>
      <c r="E172" s="22" t="n"/>
      <c r="F172" s="22" t="n"/>
      <c r="H172" s="22" t="n"/>
    </row>
    <row r="173">
      <c r="A173" s="22" t="n"/>
      <c r="B173" s="22" t="n"/>
      <c r="C173" s="22" t="n"/>
      <c r="E173" s="22" t="n"/>
      <c r="F173" s="22" t="n"/>
      <c r="H173" s="22" t="n"/>
    </row>
    <row r="174">
      <c r="A174" s="22" t="n"/>
      <c r="B174" s="22" t="n"/>
      <c r="C174" s="22" t="n"/>
      <c r="E174" s="22" t="n"/>
      <c r="F174" s="22" t="n"/>
      <c r="H174" s="22" t="n"/>
    </row>
    <row r="175">
      <c r="A175" s="22" t="n"/>
      <c r="B175" s="22" t="n"/>
      <c r="C175" s="22" t="n"/>
      <c r="E175" s="22" t="n"/>
      <c r="F175" s="22" t="n"/>
      <c r="H175" s="22" t="n"/>
    </row>
    <row r="176">
      <c r="A176" s="22" t="n"/>
      <c r="B176" s="22" t="n"/>
      <c r="C176" s="22" t="n"/>
      <c r="E176" s="22" t="n"/>
      <c r="F176" s="22" t="n"/>
      <c r="H176" s="22" t="n"/>
    </row>
    <row r="177">
      <c r="A177" s="22" t="n"/>
      <c r="B177" s="22" t="n"/>
      <c r="C177" s="22" t="n"/>
      <c r="E177" s="22" t="n"/>
      <c r="F177" s="22" t="n"/>
      <c r="H177" s="22" t="n"/>
    </row>
    <row r="178">
      <c r="A178" s="22" t="n"/>
      <c r="B178" s="22" t="n"/>
      <c r="C178" s="22" t="n"/>
      <c r="E178" s="22" t="n"/>
      <c r="F178" s="22" t="n"/>
      <c r="H178" s="22" t="n"/>
    </row>
    <row r="179">
      <c r="A179" s="22" t="n"/>
      <c r="B179" s="22" t="n"/>
      <c r="C179" s="22" t="n"/>
      <c r="E179" s="22" t="n"/>
      <c r="F179" s="22" t="n"/>
      <c r="H179" s="22" t="n"/>
    </row>
    <row r="180">
      <c r="A180" s="22" t="n"/>
      <c r="B180" s="22" t="n"/>
      <c r="C180" s="22" t="n"/>
      <c r="E180" s="22" t="n"/>
      <c r="F180" s="22" t="n"/>
      <c r="H180" s="22" t="n"/>
    </row>
    <row r="181">
      <c r="A181" s="22" t="n"/>
      <c r="B181" s="22" t="n"/>
      <c r="C181" s="22" t="n"/>
      <c r="E181" s="22" t="n"/>
      <c r="F181" s="22" t="n"/>
      <c r="H181" s="22" t="n"/>
    </row>
    <row r="182">
      <c r="A182" s="22" t="n"/>
      <c r="B182" s="22" t="n"/>
      <c r="C182" s="22" t="n"/>
      <c r="E182" s="22" t="n"/>
      <c r="F182" s="22" t="n"/>
      <c r="H182" s="22" t="n"/>
    </row>
    <row r="183">
      <c r="A183" s="22" t="n"/>
      <c r="B183" s="22" t="n"/>
      <c r="C183" s="22" t="n"/>
      <c r="E183" s="22" t="n"/>
      <c r="F183" s="22" t="n"/>
      <c r="H183" s="22" t="n"/>
    </row>
    <row r="184">
      <c r="A184" s="22" t="n"/>
      <c r="B184" s="22" t="n"/>
      <c r="C184" s="22" t="n"/>
      <c r="E184" s="22" t="n"/>
      <c r="F184" s="22" t="n"/>
      <c r="H184" s="22" t="n"/>
    </row>
    <row r="185">
      <c r="A185" s="22" t="n"/>
      <c r="B185" s="22" t="n"/>
      <c r="C185" s="22" t="n"/>
      <c r="E185" s="22" t="n"/>
      <c r="F185" s="22" t="n"/>
      <c r="H185" s="22" t="n"/>
    </row>
    <row r="186">
      <c r="A186" s="22" t="n"/>
      <c r="B186" s="22" t="n"/>
      <c r="C186" s="22" t="n"/>
      <c r="E186" s="22" t="n"/>
      <c r="F186" s="22" t="n"/>
      <c r="H186" s="22" t="n"/>
    </row>
    <row r="187">
      <c r="A187" s="22" t="n"/>
      <c r="B187" s="22" t="n"/>
      <c r="C187" s="22" t="n"/>
      <c r="E187" s="22" t="n"/>
      <c r="F187" s="22" t="n"/>
      <c r="H187" s="22" t="n"/>
    </row>
    <row r="188">
      <c r="A188" s="22" t="n"/>
      <c r="B188" s="22" t="n"/>
      <c r="C188" s="22" t="n"/>
      <c r="E188" s="22" t="n"/>
      <c r="F188" s="22" t="n"/>
      <c r="H188" s="22" t="n"/>
    </row>
    <row r="189">
      <c r="A189" s="22" t="n"/>
      <c r="B189" s="22" t="n"/>
      <c r="C189" s="22" t="n"/>
      <c r="E189" s="22" t="n"/>
      <c r="F189" s="22" t="n"/>
      <c r="H189" s="22" t="n"/>
    </row>
    <row r="190">
      <c r="A190" s="22" t="n"/>
      <c r="B190" s="22" t="n"/>
      <c r="C190" s="22" t="n"/>
      <c r="E190" s="22" t="n"/>
      <c r="F190" s="22" t="n"/>
      <c r="H190" s="22" t="n"/>
    </row>
    <row r="191">
      <c r="A191" s="22" t="n"/>
      <c r="B191" s="22" t="n"/>
      <c r="C191" s="22" t="n"/>
      <c r="E191" s="22" t="n"/>
      <c r="F191" s="22" t="n"/>
      <c r="H191" s="22" t="n"/>
    </row>
    <row r="192">
      <c r="A192" s="22" t="n"/>
      <c r="B192" s="22" t="n"/>
      <c r="C192" s="22" t="n"/>
      <c r="E192" s="22" t="n"/>
      <c r="F192" s="22" t="n"/>
      <c r="H192" s="22" t="n"/>
    </row>
    <row r="193">
      <c r="A193" s="22" t="n"/>
      <c r="B193" s="22" t="n"/>
      <c r="C193" s="22" t="n"/>
      <c r="E193" s="22" t="n"/>
      <c r="F193" s="22" t="n"/>
      <c r="H193" s="22" t="n"/>
    </row>
    <row r="194">
      <c r="A194" s="22" t="n"/>
      <c r="B194" s="22" t="n"/>
      <c r="C194" s="22" t="n"/>
      <c r="E194" s="22" t="n"/>
      <c r="F194" s="22" t="n"/>
      <c r="H194" s="22" t="n"/>
    </row>
    <row r="195">
      <c r="A195" s="22" t="n"/>
      <c r="B195" s="22" t="n"/>
      <c r="C195" s="22" t="n"/>
      <c r="E195" s="22" t="n"/>
      <c r="F195" s="22" t="n"/>
      <c r="H195" s="22" t="n"/>
    </row>
    <row r="196">
      <c r="A196" s="22" t="n"/>
      <c r="B196" s="22" t="n"/>
      <c r="C196" s="22" t="n"/>
      <c r="E196" s="22" t="n"/>
      <c r="F196" s="22" t="n"/>
      <c r="H196" s="22" t="n"/>
    </row>
    <row r="197">
      <c r="A197" s="22" t="n"/>
      <c r="B197" s="22" t="n"/>
      <c r="C197" s="22" t="n"/>
      <c r="E197" s="22" t="n"/>
      <c r="F197" s="22" t="n"/>
      <c r="H197" s="22" t="n"/>
    </row>
    <row r="198">
      <c r="A198" s="22" t="n"/>
      <c r="B198" s="22" t="n"/>
      <c r="C198" s="22" t="n"/>
      <c r="E198" s="22" t="n"/>
      <c r="F198" s="22" t="n"/>
      <c r="H198" s="22" t="n"/>
    </row>
    <row r="199">
      <c r="A199" s="22" t="n"/>
      <c r="B199" s="22" t="n"/>
      <c r="C199" s="22" t="n"/>
      <c r="E199" s="22" t="n"/>
      <c r="F199" s="22" t="n"/>
      <c r="H199" s="22" t="n"/>
    </row>
  </sheetData>
  <conditionalFormatting sqref="D2:D1000">
    <cfRule type="expression" priority="1" dxfId="0">
      <formula>$D2="Confirmed"</formula>
    </cfRule>
    <cfRule type="expression" priority="2" dxfId="1">
      <formula>$D2="Excluded"</formula>
    </cfRule>
  </conditionalFormatting>
  <conditionalFormatting sqref="G2:G1000">
    <cfRule type="expression" priority="3" dxfId="0">
      <formula>$G2="Confirmed"</formula>
    </cfRule>
    <cfRule type="expression" priority="4" dxfId="1">
      <formula>$G2="Excluded"</formula>
    </cfRule>
  </conditionalFormatting>
  <dataValidations count="3">
    <dataValidation sqref="D2:D1000" showDropDown="0" showInputMessage="0" showErrorMessage="0" allowBlank="1" errorTitle="Not in list" error="Pick a value from the list" type="list">
      <formula1>"Confirmed,Excluded,Not genotyped,Not requested,Pending"</formula1>
    </dataValidation>
    <dataValidation sqref="G2:G1000" showDropDown="0" showInputMessage="0" showErrorMessage="0" allowBlank="1" errorTitle="Not in list" error="Pick a value from the list" type="list">
      <formula1>"Confirmed,Excluded,Not genotyped,Not requested,Pending"</formula1>
    </dataValidation>
    <dataValidation sqref="J2:J1000" showDropDown="0" showInputMessage="0" showErrorMessage="0" allowBlank="1" errorTitle="Not in list" error="Pick a value from the list" type="list">
      <formula1>"Y,N"</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99"/>
  <sheetViews>
    <sheetView zoomScale="110" workbookViewId="0">
      <pane xSplit="1" ySplit="1" topLeftCell="B2" activePane="bottomRight" state="frozen"/>
      <selection pane="topRight"/>
      <selection pane="bottomLeft"/>
      <selection pane="bottomRight" activeCell="A1" sqref="A1"/>
    </sheetView>
  </sheetViews>
  <sheetFormatPr baseColWidth="8" defaultRowHeight="15"/>
  <cols>
    <col width="15.1" customWidth="1" min="1" max="1"/>
    <col width="17" customWidth="1" min="2" max="2"/>
    <col width="12.9" customWidth="1" min="3" max="3"/>
    <col width="17" customWidth="1" min="4" max="4"/>
    <col width="18" customWidth="1" min="5" max="5"/>
    <col width="6.300000000000001" customWidth="1" min="6" max="6"/>
    <col width="17.3" customWidth="1" min="7" max="7"/>
    <col width="16.2" customWidth="1" min="8" max="8"/>
    <col width="9.600000000000001" customWidth="1" min="9" max="9"/>
    <col width="40" customWidth="1" min="10" max="10"/>
  </cols>
  <sheetData>
    <row r="1" ht="24" customHeight="1">
      <c r="A1" s="24" t="inlineStr">
        <is>
          <t>Producer_ID</t>
        </is>
      </c>
      <c r="B1" s="24" t="inlineStr">
        <is>
          <t>Animal_Key</t>
        </is>
      </c>
      <c r="C1" s="24" t="inlineStr">
        <is>
          <t>Flock_Tag</t>
        </is>
      </c>
      <c r="D1" s="24" t="inlineStr">
        <is>
          <t>EID</t>
        </is>
      </c>
      <c r="E1" s="24" t="inlineStr">
        <is>
          <t>NSIP_ID</t>
        </is>
      </c>
      <c r="F1" s="24" t="inlineStr">
        <is>
          <t>Sex</t>
        </is>
      </c>
      <c r="G1" s="24" t="inlineStr">
        <is>
          <t>Year_of_Birth</t>
        </is>
      </c>
      <c r="H1" s="24" t="inlineStr">
        <is>
          <t>Genotyped_In</t>
        </is>
      </c>
      <c r="I1" s="16" t="inlineStr">
        <is>
          <t>Active</t>
        </is>
      </c>
      <c r="J1" s="16" t="inlineStr">
        <is>
          <t>Notes</t>
        </is>
      </c>
    </row>
    <row r="2">
      <c r="A2" s="20" t="inlineStr">
        <is>
          <t>P003</t>
        </is>
      </c>
      <c r="B2" s="20" t="inlineStr">
        <is>
          <t>P003-01-26001</t>
        </is>
      </c>
      <c r="C2" s="20" t="inlineStr">
        <is>
          <t>26001</t>
        </is>
      </c>
      <c r="D2" s="20" t="inlineStr">
        <is>
          <t>840003307100001</t>
        </is>
      </c>
      <c r="E2" s="20" t="inlineStr">
        <is>
          <t>610014202626T001</t>
        </is>
      </c>
      <c r="F2" s="17" t="inlineStr">
        <is>
          <t>M</t>
        </is>
      </c>
      <c r="G2" s="20" t="inlineStr">
        <is>
          <t>2026</t>
        </is>
      </c>
      <c r="H2" s="20" t="inlineStr">
        <is>
          <t>P003-01</t>
        </is>
      </c>
      <c r="I2" s="17" t="inlineStr">
        <is>
          <t>Y</t>
        </is>
      </c>
      <c r="J2" s="17" t="inlineStr"/>
    </row>
    <row r="3">
      <c r="A3" s="20" t="inlineStr">
        <is>
          <t>P003</t>
        </is>
      </c>
      <c r="B3" s="20" t="inlineStr">
        <is>
          <t>P003-01-26002</t>
        </is>
      </c>
      <c r="C3" s="20" t="inlineStr">
        <is>
          <t>26002</t>
        </is>
      </c>
      <c r="D3" s="20" t="inlineStr">
        <is>
          <t>840003307100002</t>
        </is>
      </c>
      <c r="E3" s="20" t="inlineStr">
        <is>
          <t>610014202626T002</t>
        </is>
      </c>
      <c r="F3" s="17" t="inlineStr">
        <is>
          <t>F</t>
        </is>
      </c>
      <c r="G3" s="20" t="inlineStr">
        <is>
          <t>2026</t>
        </is>
      </c>
      <c r="H3" s="20" t="inlineStr">
        <is>
          <t>P003-01</t>
        </is>
      </c>
      <c r="I3" s="17" t="inlineStr">
        <is>
          <t>Y</t>
        </is>
      </c>
      <c r="J3" s="17" t="inlineStr"/>
    </row>
    <row r="4">
      <c r="A4" s="20" t="inlineStr">
        <is>
          <t>P003</t>
        </is>
      </c>
      <c r="B4" s="20" t="inlineStr">
        <is>
          <t>P003-01-26003</t>
        </is>
      </c>
      <c r="C4" s="20" t="inlineStr">
        <is>
          <t>26003</t>
        </is>
      </c>
      <c r="D4" s="20" t="inlineStr">
        <is>
          <t>840003307100003</t>
        </is>
      </c>
      <c r="E4" s="20" t="inlineStr">
        <is>
          <t>610014202626T003</t>
        </is>
      </c>
      <c r="F4" s="17" t="inlineStr">
        <is>
          <t>M</t>
        </is>
      </c>
      <c r="G4" s="20" t="inlineStr">
        <is>
          <t>2026</t>
        </is>
      </c>
      <c r="H4" s="20" t="inlineStr">
        <is>
          <t>P003-01</t>
        </is>
      </c>
      <c r="I4" s="17" t="inlineStr">
        <is>
          <t>Y</t>
        </is>
      </c>
      <c r="J4" s="17" t="inlineStr"/>
    </row>
    <row r="5">
      <c r="A5" s="20" t="inlineStr">
        <is>
          <t>P003</t>
        </is>
      </c>
      <c r="B5" s="20" t="inlineStr">
        <is>
          <t>P003-01-26004</t>
        </is>
      </c>
      <c r="C5" s="20" t="inlineStr">
        <is>
          <t>26004</t>
        </is>
      </c>
      <c r="D5" s="20" t="inlineStr">
        <is>
          <t>840003307100004</t>
        </is>
      </c>
      <c r="E5" s="20" t="inlineStr">
        <is>
          <t>610014202626T004</t>
        </is>
      </c>
      <c r="F5" s="17" t="inlineStr">
        <is>
          <t>F</t>
        </is>
      </c>
      <c r="G5" s="20" t="inlineStr">
        <is>
          <t>2026</t>
        </is>
      </c>
      <c r="H5" s="20" t="inlineStr">
        <is>
          <t>P003-01</t>
        </is>
      </c>
      <c r="I5" s="17" t="inlineStr">
        <is>
          <t>Y</t>
        </is>
      </c>
      <c r="J5" s="17" t="inlineStr"/>
    </row>
    <row r="6">
      <c r="A6" s="20" t="inlineStr">
        <is>
          <t>P003</t>
        </is>
      </c>
      <c r="B6" s="20" t="inlineStr">
        <is>
          <t>P003-01-26005</t>
        </is>
      </c>
      <c r="C6" s="20" t="inlineStr">
        <is>
          <t>26005</t>
        </is>
      </c>
      <c r="D6" s="20" t="inlineStr">
        <is>
          <t>840003307100005</t>
        </is>
      </c>
      <c r="E6" s="20" t="inlineStr">
        <is>
          <t>610014202626T005</t>
        </is>
      </c>
      <c r="F6" s="17" t="inlineStr">
        <is>
          <t>M</t>
        </is>
      </c>
      <c r="G6" s="20" t="inlineStr">
        <is>
          <t>2026</t>
        </is>
      </c>
      <c r="H6" s="20" t="inlineStr">
        <is>
          <t>P003-01</t>
        </is>
      </c>
      <c r="I6" s="17" t="inlineStr">
        <is>
          <t>Y</t>
        </is>
      </c>
      <c r="J6" s="17" t="inlineStr"/>
    </row>
    <row r="7">
      <c r="A7" s="20" t="inlineStr">
        <is>
          <t>P003</t>
        </is>
      </c>
      <c r="B7" s="20" t="inlineStr">
        <is>
          <t>P003-01-26006</t>
        </is>
      </c>
      <c r="C7" s="20" t="inlineStr">
        <is>
          <t>26006</t>
        </is>
      </c>
      <c r="D7" s="20" t="inlineStr">
        <is>
          <t>840003307100006</t>
        </is>
      </c>
      <c r="E7" s="20" t="inlineStr">
        <is>
          <t>610014202626T006</t>
        </is>
      </c>
      <c r="F7" s="17" t="inlineStr">
        <is>
          <t>F</t>
        </is>
      </c>
      <c r="G7" s="20" t="inlineStr">
        <is>
          <t>2026</t>
        </is>
      </c>
      <c r="H7" s="20" t="inlineStr">
        <is>
          <t>P003-01</t>
        </is>
      </c>
      <c r="I7" s="17" t="inlineStr">
        <is>
          <t>Y</t>
        </is>
      </c>
      <c r="J7" s="17" t="inlineStr"/>
    </row>
    <row r="8">
      <c r="A8" s="20" t="inlineStr">
        <is>
          <t>P003</t>
        </is>
      </c>
      <c r="B8" s="20" t="inlineStr">
        <is>
          <t>P003-01-26008</t>
        </is>
      </c>
      <c r="C8" s="20" t="inlineStr">
        <is>
          <t>26008</t>
        </is>
      </c>
      <c r="D8" s="20" t="inlineStr">
        <is>
          <t>840003307100008</t>
        </is>
      </c>
      <c r="E8" s="20" t="inlineStr">
        <is>
          <t>610014202626T008</t>
        </is>
      </c>
      <c r="F8" s="17" t="inlineStr">
        <is>
          <t>F</t>
        </is>
      </c>
      <c r="G8" s="20" t="inlineStr">
        <is>
          <t>2026</t>
        </is>
      </c>
      <c r="H8" s="20" t="inlineStr">
        <is>
          <t>P003-01</t>
        </is>
      </c>
      <c r="I8" s="17" t="inlineStr">
        <is>
          <t>Y</t>
        </is>
      </c>
      <c r="J8" s="17" t="inlineStr"/>
    </row>
    <row r="9">
      <c r="A9" s="20" t="inlineStr">
        <is>
          <t>P003</t>
        </is>
      </c>
      <c r="B9" s="20" t="inlineStr">
        <is>
          <t>P003-01-26009</t>
        </is>
      </c>
      <c r="C9" s="20" t="inlineStr">
        <is>
          <t>26009</t>
        </is>
      </c>
      <c r="D9" s="20" t="inlineStr">
        <is>
          <t>840003307100009</t>
        </is>
      </c>
      <c r="E9" s="20" t="inlineStr">
        <is>
          <t>610014202626T009</t>
        </is>
      </c>
      <c r="F9" s="17" t="inlineStr">
        <is>
          <t>M</t>
        </is>
      </c>
      <c r="G9" s="20" t="inlineStr">
        <is>
          <t>2026</t>
        </is>
      </c>
      <c r="H9" s="20" t="inlineStr">
        <is>
          <t>P003-01</t>
        </is>
      </c>
      <c r="I9" s="17" t="inlineStr">
        <is>
          <t>Y</t>
        </is>
      </c>
      <c r="J9" s="17" t="inlineStr"/>
    </row>
    <row r="10">
      <c r="A10" s="20" t="inlineStr">
        <is>
          <t>P003</t>
        </is>
      </c>
      <c r="B10" s="20" t="inlineStr">
        <is>
          <t>P003-01-26010</t>
        </is>
      </c>
      <c r="C10" s="20" t="inlineStr">
        <is>
          <t>26010</t>
        </is>
      </c>
      <c r="D10" s="20" t="inlineStr">
        <is>
          <t>840003307100010</t>
        </is>
      </c>
      <c r="E10" s="20" t="inlineStr">
        <is>
          <t>610014202626T010</t>
        </is>
      </c>
      <c r="F10" s="17" t="inlineStr">
        <is>
          <t>F</t>
        </is>
      </c>
      <c r="G10" s="20" t="inlineStr">
        <is>
          <t>2026</t>
        </is>
      </c>
      <c r="H10" s="20" t="inlineStr">
        <is>
          <t>P003-01</t>
        </is>
      </c>
      <c r="I10" s="17" t="inlineStr">
        <is>
          <t>Y</t>
        </is>
      </c>
      <c r="J10" s="17" t="inlineStr"/>
    </row>
    <row r="11">
      <c r="A11" s="20" t="inlineStr">
        <is>
          <t>P003</t>
        </is>
      </c>
      <c r="B11" s="20" t="inlineStr">
        <is>
          <t>P003-01-23015</t>
        </is>
      </c>
      <c r="C11" s="20" t="inlineStr">
        <is>
          <t>23015</t>
        </is>
      </c>
      <c r="D11" s="20" t="inlineStr">
        <is>
          <t>840003307100011</t>
        </is>
      </c>
      <c r="E11" s="20" t="inlineStr">
        <is>
          <t>610014202323T015</t>
        </is>
      </c>
      <c r="F11" s="17" t="inlineStr">
        <is>
          <t>M</t>
        </is>
      </c>
      <c r="G11" s="20" t="inlineStr">
        <is>
          <t>2023</t>
        </is>
      </c>
      <c r="H11" s="20" t="inlineStr">
        <is>
          <t>P003-01</t>
        </is>
      </c>
      <c r="I11" s="17" t="inlineStr">
        <is>
          <t>Y</t>
        </is>
      </c>
      <c r="J11" s="17" t="inlineStr"/>
    </row>
    <row r="12">
      <c r="A12" s="22" t="n"/>
      <c r="B12" s="22" t="n"/>
      <c r="C12" s="22" t="n"/>
      <c r="D12" s="22" t="n"/>
      <c r="E12" s="22" t="n"/>
      <c r="G12" s="22" t="n"/>
      <c r="H12" s="22" t="n"/>
    </row>
    <row r="13">
      <c r="A13" s="22" t="n"/>
      <c r="B13" s="22" t="n"/>
      <c r="C13" s="22" t="n"/>
      <c r="D13" s="22" t="n"/>
      <c r="E13" s="22" t="n"/>
      <c r="G13" s="22" t="n"/>
      <c r="H13" s="22" t="n"/>
    </row>
    <row r="14">
      <c r="A14" s="22" t="n"/>
      <c r="B14" s="22" t="n"/>
      <c r="C14" s="22" t="n"/>
      <c r="D14" s="22" t="n"/>
      <c r="E14" s="22" t="n"/>
      <c r="G14" s="22" t="n"/>
      <c r="H14" s="22" t="n"/>
    </row>
    <row r="15">
      <c r="A15" s="22" t="n"/>
      <c r="B15" s="22" t="n"/>
      <c r="C15" s="22" t="n"/>
      <c r="D15" s="22" t="n"/>
      <c r="E15" s="22" t="n"/>
      <c r="G15" s="22" t="n"/>
      <c r="H15" s="22" t="n"/>
    </row>
    <row r="16">
      <c r="A16" s="22" t="n"/>
      <c r="B16" s="22" t="n"/>
      <c r="C16" s="22" t="n"/>
      <c r="D16" s="22" t="n"/>
      <c r="E16" s="22" t="n"/>
      <c r="G16" s="22" t="n"/>
      <c r="H16" s="22" t="n"/>
    </row>
    <row r="17">
      <c r="A17" s="22" t="n"/>
      <c r="B17" s="22" t="n"/>
      <c r="C17" s="22" t="n"/>
      <c r="D17" s="22" t="n"/>
      <c r="E17" s="22" t="n"/>
      <c r="G17" s="22" t="n"/>
      <c r="H17" s="22" t="n"/>
    </row>
    <row r="18">
      <c r="A18" s="22" t="n"/>
      <c r="B18" s="22" t="n"/>
      <c r="C18" s="22" t="n"/>
      <c r="D18" s="22" t="n"/>
      <c r="E18" s="22" t="n"/>
      <c r="G18" s="22" t="n"/>
      <c r="H18" s="22" t="n"/>
    </row>
    <row r="19">
      <c r="A19" s="22" t="n"/>
      <c r="B19" s="22" t="n"/>
      <c r="C19" s="22" t="n"/>
      <c r="D19" s="22" t="n"/>
      <c r="E19" s="22" t="n"/>
      <c r="G19" s="22" t="n"/>
      <c r="H19" s="22" t="n"/>
    </row>
    <row r="20">
      <c r="A20" s="22" t="n"/>
      <c r="B20" s="22" t="n"/>
      <c r="C20" s="22" t="n"/>
      <c r="D20" s="22" t="n"/>
      <c r="E20" s="22" t="n"/>
      <c r="G20" s="22" t="n"/>
      <c r="H20" s="22" t="n"/>
    </row>
    <row r="21">
      <c r="A21" s="22" t="n"/>
      <c r="B21" s="22" t="n"/>
      <c r="C21" s="22" t="n"/>
      <c r="D21" s="22" t="n"/>
      <c r="E21" s="22" t="n"/>
      <c r="G21" s="22" t="n"/>
      <c r="H21" s="22" t="n"/>
    </row>
    <row r="22">
      <c r="A22" s="22" t="n"/>
      <c r="B22" s="22" t="n"/>
      <c r="C22" s="22" t="n"/>
      <c r="D22" s="22" t="n"/>
      <c r="E22" s="22" t="n"/>
      <c r="G22" s="22" t="n"/>
      <c r="H22" s="22" t="n"/>
    </row>
    <row r="23">
      <c r="A23" s="22" t="n"/>
      <c r="B23" s="22" t="n"/>
      <c r="C23" s="22" t="n"/>
      <c r="D23" s="22" t="n"/>
      <c r="E23" s="22" t="n"/>
      <c r="G23" s="22" t="n"/>
      <c r="H23" s="22" t="n"/>
    </row>
    <row r="24">
      <c r="A24" s="22" t="n"/>
      <c r="B24" s="22" t="n"/>
      <c r="C24" s="22" t="n"/>
      <c r="D24" s="22" t="n"/>
      <c r="E24" s="22" t="n"/>
      <c r="G24" s="22" t="n"/>
      <c r="H24" s="22" t="n"/>
    </row>
    <row r="25">
      <c r="A25" s="22" t="n"/>
      <c r="B25" s="22" t="n"/>
      <c r="C25" s="22" t="n"/>
      <c r="D25" s="22" t="n"/>
      <c r="E25" s="22" t="n"/>
      <c r="G25" s="22" t="n"/>
      <c r="H25" s="22" t="n"/>
    </row>
    <row r="26">
      <c r="A26" s="22" t="n"/>
      <c r="B26" s="22" t="n"/>
      <c r="C26" s="22" t="n"/>
      <c r="D26" s="22" t="n"/>
      <c r="E26" s="22" t="n"/>
      <c r="G26" s="22" t="n"/>
      <c r="H26" s="22" t="n"/>
    </row>
    <row r="27">
      <c r="A27" s="22" t="n"/>
      <c r="B27" s="22" t="n"/>
      <c r="C27" s="22" t="n"/>
      <c r="D27" s="22" t="n"/>
      <c r="E27" s="22" t="n"/>
      <c r="G27" s="22" t="n"/>
      <c r="H27" s="22" t="n"/>
    </row>
    <row r="28">
      <c r="A28" s="22" t="n"/>
      <c r="B28" s="22" t="n"/>
      <c r="C28" s="22" t="n"/>
      <c r="D28" s="22" t="n"/>
      <c r="E28" s="22" t="n"/>
      <c r="G28" s="22" t="n"/>
      <c r="H28" s="22" t="n"/>
    </row>
    <row r="29">
      <c r="A29" s="22" t="n"/>
      <c r="B29" s="22" t="n"/>
      <c r="C29" s="22" t="n"/>
      <c r="D29" s="22" t="n"/>
      <c r="E29" s="22" t="n"/>
      <c r="G29" s="22" t="n"/>
      <c r="H29" s="22" t="n"/>
    </row>
    <row r="30">
      <c r="A30" s="22" t="n"/>
      <c r="B30" s="22" t="n"/>
      <c r="C30" s="22" t="n"/>
      <c r="D30" s="22" t="n"/>
      <c r="E30" s="22" t="n"/>
      <c r="G30" s="22" t="n"/>
      <c r="H30" s="22" t="n"/>
    </row>
    <row r="31">
      <c r="A31" s="22" t="n"/>
      <c r="B31" s="22" t="n"/>
      <c r="C31" s="22" t="n"/>
      <c r="D31" s="22" t="n"/>
      <c r="E31" s="22" t="n"/>
      <c r="G31" s="22" t="n"/>
      <c r="H31" s="22" t="n"/>
    </row>
    <row r="32">
      <c r="A32" s="22" t="n"/>
      <c r="B32" s="22" t="n"/>
      <c r="C32" s="22" t="n"/>
      <c r="D32" s="22" t="n"/>
      <c r="E32" s="22" t="n"/>
      <c r="G32" s="22" t="n"/>
      <c r="H32" s="22" t="n"/>
    </row>
    <row r="33">
      <c r="A33" s="22" t="n"/>
      <c r="B33" s="22" t="n"/>
      <c r="C33" s="22" t="n"/>
      <c r="D33" s="22" t="n"/>
      <c r="E33" s="22" t="n"/>
      <c r="G33" s="22" t="n"/>
      <c r="H33" s="22" t="n"/>
    </row>
    <row r="34">
      <c r="A34" s="22" t="n"/>
      <c r="B34" s="22" t="n"/>
      <c r="C34" s="22" t="n"/>
      <c r="D34" s="22" t="n"/>
      <c r="E34" s="22" t="n"/>
      <c r="G34" s="22" t="n"/>
      <c r="H34" s="22" t="n"/>
    </row>
    <row r="35">
      <c r="A35" s="22" t="n"/>
      <c r="B35" s="22" t="n"/>
      <c r="C35" s="22" t="n"/>
      <c r="D35" s="22" t="n"/>
      <c r="E35" s="22" t="n"/>
      <c r="G35" s="22" t="n"/>
      <c r="H35" s="22" t="n"/>
    </row>
    <row r="36">
      <c r="A36" s="22" t="n"/>
      <c r="B36" s="22" t="n"/>
      <c r="C36" s="22" t="n"/>
      <c r="D36" s="22" t="n"/>
      <c r="E36" s="22" t="n"/>
      <c r="G36" s="22" t="n"/>
      <c r="H36" s="22" t="n"/>
    </row>
    <row r="37">
      <c r="A37" s="22" t="n"/>
      <c r="B37" s="22" t="n"/>
      <c r="C37" s="22" t="n"/>
      <c r="D37" s="22" t="n"/>
      <c r="E37" s="22" t="n"/>
      <c r="G37" s="22" t="n"/>
      <c r="H37" s="22" t="n"/>
    </row>
    <row r="38">
      <c r="A38" s="22" t="n"/>
      <c r="B38" s="22" t="n"/>
      <c r="C38" s="22" t="n"/>
      <c r="D38" s="22" t="n"/>
      <c r="E38" s="22" t="n"/>
      <c r="G38" s="22" t="n"/>
      <c r="H38" s="22" t="n"/>
    </row>
    <row r="39">
      <c r="A39" s="22" t="n"/>
      <c r="B39" s="22" t="n"/>
      <c r="C39" s="22" t="n"/>
      <c r="D39" s="22" t="n"/>
      <c r="E39" s="22" t="n"/>
      <c r="G39" s="22" t="n"/>
      <c r="H39" s="22" t="n"/>
    </row>
    <row r="40">
      <c r="A40" s="22" t="n"/>
      <c r="B40" s="22" t="n"/>
      <c r="C40" s="22" t="n"/>
      <c r="D40" s="22" t="n"/>
      <c r="E40" s="22" t="n"/>
      <c r="G40" s="22" t="n"/>
      <c r="H40" s="22" t="n"/>
    </row>
    <row r="41">
      <c r="A41" s="22" t="n"/>
      <c r="B41" s="22" t="n"/>
      <c r="C41" s="22" t="n"/>
      <c r="D41" s="22" t="n"/>
      <c r="E41" s="22" t="n"/>
      <c r="G41" s="22" t="n"/>
      <c r="H41" s="22" t="n"/>
    </row>
    <row r="42">
      <c r="A42" s="22" t="n"/>
      <c r="B42" s="22" t="n"/>
      <c r="C42" s="22" t="n"/>
      <c r="D42" s="22" t="n"/>
      <c r="E42" s="22" t="n"/>
      <c r="G42" s="22" t="n"/>
      <c r="H42" s="22" t="n"/>
    </row>
    <row r="43">
      <c r="A43" s="22" t="n"/>
      <c r="B43" s="22" t="n"/>
      <c r="C43" s="22" t="n"/>
      <c r="D43" s="22" t="n"/>
      <c r="E43" s="22" t="n"/>
      <c r="G43" s="22" t="n"/>
      <c r="H43" s="22" t="n"/>
    </row>
    <row r="44">
      <c r="A44" s="22" t="n"/>
      <c r="B44" s="22" t="n"/>
      <c r="C44" s="22" t="n"/>
      <c r="D44" s="22" t="n"/>
      <c r="E44" s="22" t="n"/>
      <c r="G44" s="22" t="n"/>
      <c r="H44" s="22" t="n"/>
    </row>
    <row r="45">
      <c r="A45" s="22" t="n"/>
      <c r="B45" s="22" t="n"/>
      <c r="C45" s="22" t="n"/>
      <c r="D45" s="22" t="n"/>
      <c r="E45" s="22" t="n"/>
      <c r="G45" s="22" t="n"/>
      <c r="H45" s="22" t="n"/>
    </row>
    <row r="46">
      <c r="A46" s="22" t="n"/>
      <c r="B46" s="22" t="n"/>
      <c r="C46" s="22" t="n"/>
      <c r="D46" s="22" t="n"/>
      <c r="E46" s="22" t="n"/>
      <c r="G46" s="22" t="n"/>
      <c r="H46" s="22" t="n"/>
    </row>
    <row r="47">
      <c r="A47" s="22" t="n"/>
      <c r="B47" s="22" t="n"/>
      <c r="C47" s="22" t="n"/>
      <c r="D47" s="22" t="n"/>
      <c r="E47" s="22" t="n"/>
      <c r="G47" s="22" t="n"/>
      <c r="H47" s="22" t="n"/>
    </row>
    <row r="48">
      <c r="A48" s="22" t="n"/>
      <c r="B48" s="22" t="n"/>
      <c r="C48" s="22" t="n"/>
      <c r="D48" s="22" t="n"/>
      <c r="E48" s="22" t="n"/>
      <c r="G48" s="22" t="n"/>
      <c r="H48" s="22" t="n"/>
    </row>
    <row r="49">
      <c r="A49" s="22" t="n"/>
      <c r="B49" s="22" t="n"/>
      <c r="C49" s="22" t="n"/>
      <c r="D49" s="22" t="n"/>
      <c r="E49" s="22" t="n"/>
      <c r="G49" s="22" t="n"/>
      <c r="H49" s="22" t="n"/>
    </row>
    <row r="50">
      <c r="A50" s="22" t="n"/>
      <c r="B50" s="22" t="n"/>
      <c r="C50" s="22" t="n"/>
      <c r="D50" s="22" t="n"/>
      <c r="E50" s="22" t="n"/>
      <c r="G50" s="22" t="n"/>
      <c r="H50" s="22" t="n"/>
    </row>
    <row r="51">
      <c r="A51" s="22" t="n"/>
      <c r="B51" s="22" t="n"/>
      <c r="C51" s="22" t="n"/>
      <c r="D51" s="22" t="n"/>
      <c r="E51" s="22" t="n"/>
      <c r="G51" s="22" t="n"/>
      <c r="H51" s="22" t="n"/>
    </row>
    <row r="52">
      <c r="A52" s="22" t="n"/>
      <c r="B52" s="22" t="n"/>
      <c r="C52" s="22" t="n"/>
      <c r="D52" s="22" t="n"/>
      <c r="E52" s="22" t="n"/>
      <c r="G52" s="22" t="n"/>
      <c r="H52" s="22" t="n"/>
    </row>
    <row r="53">
      <c r="A53" s="22" t="n"/>
      <c r="B53" s="22" t="n"/>
      <c r="C53" s="22" t="n"/>
      <c r="D53" s="22" t="n"/>
      <c r="E53" s="22" t="n"/>
      <c r="G53" s="22" t="n"/>
      <c r="H53" s="22" t="n"/>
    </row>
    <row r="54">
      <c r="A54" s="22" t="n"/>
      <c r="B54" s="22" t="n"/>
      <c r="C54" s="22" t="n"/>
      <c r="D54" s="22" t="n"/>
      <c r="E54" s="22" t="n"/>
      <c r="G54" s="22" t="n"/>
      <c r="H54" s="22" t="n"/>
    </row>
    <row r="55">
      <c r="A55" s="22" t="n"/>
      <c r="B55" s="22" t="n"/>
      <c r="C55" s="22" t="n"/>
      <c r="D55" s="22" t="n"/>
      <c r="E55" s="22" t="n"/>
      <c r="G55" s="22" t="n"/>
      <c r="H55" s="22" t="n"/>
    </row>
    <row r="56">
      <c r="A56" s="22" t="n"/>
      <c r="B56" s="22" t="n"/>
      <c r="C56" s="22" t="n"/>
      <c r="D56" s="22" t="n"/>
      <c r="E56" s="22" t="n"/>
      <c r="G56" s="22" t="n"/>
      <c r="H56" s="22" t="n"/>
    </row>
    <row r="57">
      <c r="A57" s="22" t="n"/>
      <c r="B57" s="22" t="n"/>
      <c r="C57" s="22" t="n"/>
      <c r="D57" s="22" t="n"/>
      <c r="E57" s="22" t="n"/>
      <c r="G57" s="22" t="n"/>
      <c r="H57" s="22" t="n"/>
    </row>
    <row r="58">
      <c r="A58" s="22" t="n"/>
      <c r="B58" s="22" t="n"/>
      <c r="C58" s="22" t="n"/>
      <c r="D58" s="22" t="n"/>
      <c r="E58" s="22" t="n"/>
      <c r="G58" s="22" t="n"/>
      <c r="H58" s="22" t="n"/>
    </row>
    <row r="59">
      <c r="A59" s="22" t="n"/>
      <c r="B59" s="22" t="n"/>
      <c r="C59" s="22" t="n"/>
      <c r="D59" s="22" t="n"/>
      <c r="E59" s="22" t="n"/>
      <c r="G59" s="22" t="n"/>
      <c r="H59" s="22" t="n"/>
    </row>
    <row r="60">
      <c r="A60" s="22" t="n"/>
      <c r="B60" s="22" t="n"/>
      <c r="C60" s="22" t="n"/>
      <c r="D60" s="22" t="n"/>
      <c r="E60" s="22" t="n"/>
      <c r="G60" s="22" t="n"/>
      <c r="H60" s="22" t="n"/>
    </row>
    <row r="61">
      <c r="A61" s="22" t="n"/>
      <c r="B61" s="22" t="n"/>
      <c r="C61" s="22" t="n"/>
      <c r="D61" s="22" t="n"/>
      <c r="E61" s="22" t="n"/>
      <c r="G61" s="22" t="n"/>
      <c r="H61" s="22" t="n"/>
    </row>
    <row r="62">
      <c r="A62" s="22" t="n"/>
      <c r="B62" s="22" t="n"/>
      <c r="C62" s="22" t="n"/>
      <c r="D62" s="22" t="n"/>
      <c r="E62" s="22" t="n"/>
      <c r="G62" s="22" t="n"/>
      <c r="H62" s="22" t="n"/>
    </row>
    <row r="63">
      <c r="A63" s="22" t="n"/>
      <c r="B63" s="22" t="n"/>
      <c r="C63" s="22" t="n"/>
      <c r="D63" s="22" t="n"/>
      <c r="E63" s="22" t="n"/>
      <c r="G63" s="22" t="n"/>
      <c r="H63" s="22" t="n"/>
    </row>
    <row r="64">
      <c r="A64" s="22" t="n"/>
      <c r="B64" s="22" t="n"/>
      <c r="C64" s="22" t="n"/>
      <c r="D64" s="22" t="n"/>
      <c r="E64" s="22" t="n"/>
      <c r="G64" s="22" t="n"/>
      <c r="H64" s="22" t="n"/>
    </row>
    <row r="65">
      <c r="A65" s="22" t="n"/>
      <c r="B65" s="22" t="n"/>
      <c r="C65" s="22" t="n"/>
      <c r="D65" s="22" t="n"/>
      <c r="E65" s="22" t="n"/>
      <c r="G65" s="22" t="n"/>
      <c r="H65" s="22" t="n"/>
    </row>
    <row r="66">
      <c r="A66" s="22" t="n"/>
      <c r="B66" s="22" t="n"/>
      <c r="C66" s="22" t="n"/>
      <c r="D66" s="22" t="n"/>
      <c r="E66" s="22" t="n"/>
      <c r="G66" s="22" t="n"/>
      <c r="H66" s="22" t="n"/>
    </row>
    <row r="67">
      <c r="A67" s="22" t="n"/>
      <c r="B67" s="22" t="n"/>
      <c r="C67" s="22" t="n"/>
      <c r="D67" s="22" t="n"/>
      <c r="E67" s="22" t="n"/>
      <c r="G67" s="22" t="n"/>
      <c r="H67" s="22" t="n"/>
    </row>
    <row r="68">
      <c r="A68" s="22" t="n"/>
      <c r="B68" s="22" t="n"/>
      <c r="C68" s="22" t="n"/>
      <c r="D68" s="22" t="n"/>
      <c r="E68" s="22" t="n"/>
      <c r="G68" s="22" t="n"/>
      <c r="H68" s="22" t="n"/>
    </row>
    <row r="69">
      <c r="A69" s="22" t="n"/>
      <c r="B69" s="22" t="n"/>
      <c r="C69" s="22" t="n"/>
      <c r="D69" s="22" t="n"/>
      <c r="E69" s="22" t="n"/>
      <c r="G69" s="22" t="n"/>
      <c r="H69" s="22" t="n"/>
    </row>
    <row r="70">
      <c r="A70" s="22" t="n"/>
      <c r="B70" s="22" t="n"/>
      <c r="C70" s="22" t="n"/>
      <c r="D70" s="22" t="n"/>
      <c r="E70" s="22" t="n"/>
      <c r="G70" s="22" t="n"/>
      <c r="H70" s="22" t="n"/>
    </row>
    <row r="71">
      <c r="A71" s="22" t="n"/>
      <c r="B71" s="22" t="n"/>
      <c r="C71" s="22" t="n"/>
      <c r="D71" s="22" t="n"/>
      <c r="E71" s="22" t="n"/>
      <c r="G71" s="22" t="n"/>
      <c r="H71" s="22" t="n"/>
    </row>
    <row r="72">
      <c r="A72" s="22" t="n"/>
      <c r="B72" s="22" t="n"/>
      <c r="C72" s="22" t="n"/>
      <c r="D72" s="22" t="n"/>
      <c r="E72" s="22" t="n"/>
      <c r="G72" s="22" t="n"/>
      <c r="H72" s="22" t="n"/>
    </row>
    <row r="73">
      <c r="A73" s="22" t="n"/>
      <c r="B73" s="22" t="n"/>
      <c r="C73" s="22" t="n"/>
      <c r="D73" s="22" t="n"/>
      <c r="E73" s="22" t="n"/>
      <c r="G73" s="22" t="n"/>
      <c r="H73" s="22" t="n"/>
    </row>
    <row r="74">
      <c r="A74" s="22" t="n"/>
      <c r="B74" s="22" t="n"/>
      <c r="C74" s="22" t="n"/>
      <c r="D74" s="22" t="n"/>
      <c r="E74" s="22" t="n"/>
      <c r="G74" s="22" t="n"/>
      <c r="H74" s="22" t="n"/>
    </row>
    <row r="75">
      <c r="A75" s="22" t="n"/>
      <c r="B75" s="22" t="n"/>
      <c r="C75" s="22" t="n"/>
      <c r="D75" s="22" t="n"/>
      <c r="E75" s="22" t="n"/>
      <c r="G75" s="22" t="n"/>
      <c r="H75" s="22" t="n"/>
    </row>
    <row r="76">
      <c r="A76" s="22" t="n"/>
      <c r="B76" s="22" t="n"/>
      <c r="C76" s="22" t="n"/>
      <c r="D76" s="22" t="n"/>
      <c r="E76" s="22" t="n"/>
      <c r="G76" s="22" t="n"/>
      <c r="H76" s="22" t="n"/>
    </row>
    <row r="77">
      <c r="A77" s="22" t="n"/>
      <c r="B77" s="22" t="n"/>
      <c r="C77" s="22" t="n"/>
      <c r="D77" s="22" t="n"/>
      <c r="E77" s="22" t="n"/>
      <c r="G77" s="22" t="n"/>
      <c r="H77" s="22" t="n"/>
    </row>
    <row r="78">
      <c r="A78" s="22" t="n"/>
      <c r="B78" s="22" t="n"/>
      <c r="C78" s="22" t="n"/>
      <c r="D78" s="22" t="n"/>
      <c r="E78" s="22" t="n"/>
      <c r="G78" s="22" t="n"/>
      <c r="H78" s="22" t="n"/>
    </row>
    <row r="79">
      <c r="A79" s="22" t="n"/>
      <c r="B79" s="22" t="n"/>
      <c r="C79" s="22" t="n"/>
      <c r="D79" s="22" t="n"/>
      <c r="E79" s="22" t="n"/>
      <c r="G79" s="22" t="n"/>
      <c r="H79" s="22" t="n"/>
    </row>
    <row r="80">
      <c r="A80" s="22" t="n"/>
      <c r="B80" s="22" t="n"/>
      <c r="C80" s="22" t="n"/>
      <c r="D80" s="22" t="n"/>
      <c r="E80" s="22" t="n"/>
      <c r="G80" s="22" t="n"/>
      <c r="H80" s="22" t="n"/>
    </row>
    <row r="81">
      <c r="A81" s="22" t="n"/>
      <c r="B81" s="22" t="n"/>
      <c r="C81" s="22" t="n"/>
      <c r="D81" s="22" t="n"/>
      <c r="E81" s="22" t="n"/>
      <c r="G81" s="22" t="n"/>
      <c r="H81" s="22" t="n"/>
    </row>
    <row r="82">
      <c r="A82" s="22" t="n"/>
      <c r="B82" s="22" t="n"/>
      <c r="C82" s="22" t="n"/>
      <c r="D82" s="22" t="n"/>
      <c r="E82" s="22" t="n"/>
      <c r="G82" s="22" t="n"/>
      <c r="H82" s="22" t="n"/>
    </row>
    <row r="83">
      <c r="A83" s="22" t="n"/>
      <c r="B83" s="22" t="n"/>
      <c r="C83" s="22" t="n"/>
      <c r="D83" s="22" t="n"/>
      <c r="E83" s="22" t="n"/>
      <c r="G83" s="22" t="n"/>
      <c r="H83" s="22" t="n"/>
    </row>
    <row r="84">
      <c r="A84" s="22" t="n"/>
      <c r="B84" s="22" t="n"/>
      <c r="C84" s="22" t="n"/>
      <c r="D84" s="22" t="n"/>
      <c r="E84" s="22" t="n"/>
      <c r="G84" s="22" t="n"/>
      <c r="H84" s="22" t="n"/>
    </row>
    <row r="85">
      <c r="A85" s="22" t="n"/>
      <c r="B85" s="22" t="n"/>
      <c r="C85" s="22" t="n"/>
      <c r="D85" s="22" t="n"/>
      <c r="E85" s="22" t="n"/>
      <c r="G85" s="22" t="n"/>
      <c r="H85" s="22" t="n"/>
    </row>
    <row r="86">
      <c r="A86" s="22" t="n"/>
      <c r="B86" s="22" t="n"/>
      <c r="C86" s="22" t="n"/>
      <c r="D86" s="22" t="n"/>
      <c r="E86" s="22" t="n"/>
      <c r="G86" s="22" t="n"/>
      <c r="H86" s="22" t="n"/>
    </row>
    <row r="87">
      <c r="A87" s="22" t="n"/>
      <c r="B87" s="22" t="n"/>
      <c r="C87" s="22" t="n"/>
      <c r="D87" s="22" t="n"/>
      <c r="E87" s="22" t="n"/>
      <c r="G87" s="22" t="n"/>
      <c r="H87" s="22" t="n"/>
    </row>
    <row r="88">
      <c r="A88" s="22" t="n"/>
      <c r="B88" s="22" t="n"/>
      <c r="C88" s="22" t="n"/>
      <c r="D88" s="22" t="n"/>
      <c r="E88" s="22" t="n"/>
      <c r="G88" s="22" t="n"/>
      <c r="H88" s="22" t="n"/>
    </row>
    <row r="89">
      <c r="A89" s="22" t="n"/>
      <c r="B89" s="22" t="n"/>
      <c r="C89" s="22" t="n"/>
      <c r="D89" s="22" t="n"/>
      <c r="E89" s="22" t="n"/>
      <c r="G89" s="22" t="n"/>
      <c r="H89" s="22" t="n"/>
    </row>
    <row r="90">
      <c r="A90" s="22" t="n"/>
      <c r="B90" s="22" t="n"/>
      <c r="C90" s="22" t="n"/>
      <c r="D90" s="22" t="n"/>
      <c r="E90" s="22" t="n"/>
      <c r="G90" s="22" t="n"/>
      <c r="H90" s="22" t="n"/>
    </row>
    <row r="91">
      <c r="A91" s="22" t="n"/>
      <c r="B91" s="22" t="n"/>
      <c r="C91" s="22" t="n"/>
      <c r="D91" s="22" t="n"/>
      <c r="E91" s="22" t="n"/>
      <c r="G91" s="22" t="n"/>
      <c r="H91" s="22" t="n"/>
    </row>
    <row r="92">
      <c r="A92" s="22" t="n"/>
      <c r="B92" s="22" t="n"/>
      <c r="C92" s="22" t="n"/>
      <c r="D92" s="22" t="n"/>
      <c r="E92" s="22" t="n"/>
      <c r="G92" s="22" t="n"/>
      <c r="H92" s="22" t="n"/>
    </row>
    <row r="93">
      <c r="A93" s="22" t="n"/>
      <c r="B93" s="22" t="n"/>
      <c r="C93" s="22" t="n"/>
      <c r="D93" s="22" t="n"/>
      <c r="E93" s="22" t="n"/>
      <c r="G93" s="22" t="n"/>
      <c r="H93" s="22" t="n"/>
    </row>
    <row r="94">
      <c r="A94" s="22" t="n"/>
      <c r="B94" s="22" t="n"/>
      <c r="C94" s="22" t="n"/>
      <c r="D94" s="22" t="n"/>
      <c r="E94" s="22" t="n"/>
      <c r="G94" s="22" t="n"/>
      <c r="H94" s="22" t="n"/>
    </row>
    <row r="95">
      <c r="A95" s="22" t="n"/>
      <c r="B95" s="22" t="n"/>
      <c r="C95" s="22" t="n"/>
      <c r="D95" s="22" t="n"/>
      <c r="E95" s="22" t="n"/>
      <c r="G95" s="22" t="n"/>
      <c r="H95" s="22" t="n"/>
    </row>
    <row r="96">
      <c r="A96" s="22" t="n"/>
      <c r="B96" s="22" t="n"/>
      <c r="C96" s="22" t="n"/>
      <c r="D96" s="22" t="n"/>
      <c r="E96" s="22" t="n"/>
      <c r="G96" s="22" t="n"/>
      <c r="H96" s="22" t="n"/>
    </row>
    <row r="97">
      <c r="A97" s="22" t="n"/>
      <c r="B97" s="22" t="n"/>
      <c r="C97" s="22" t="n"/>
      <c r="D97" s="22" t="n"/>
      <c r="E97" s="22" t="n"/>
      <c r="G97" s="22" t="n"/>
      <c r="H97" s="22" t="n"/>
    </row>
    <row r="98">
      <c r="A98" s="22" t="n"/>
      <c r="B98" s="22" t="n"/>
      <c r="C98" s="22" t="n"/>
      <c r="D98" s="22" t="n"/>
      <c r="E98" s="22" t="n"/>
      <c r="G98" s="22" t="n"/>
      <c r="H98" s="22" t="n"/>
    </row>
    <row r="99">
      <c r="A99" s="22" t="n"/>
      <c r="B99" s="22" t="n"/>
      <c r="C99" s="22" t="n"/>
      <c r="D99" s="22" t="n"/>
      <c r="E99" s="22" t="n"/>
      <c r="G99" s="22" t="n"/>
      <c r="H99" s="22" t="n"/>
    </row>
    <row r="100">
      <c r="A100" s="22" t="n"/>
      <c r="B100" s="22" t="n"/>
      <c r="C100" s="22" t="n"/>
      <c r="D100" s="22" t="n"/>
      <c r="E100" s="22" t="n"/>
      <c r="G100" s="22" t="n"/>
      <c r="H100" s="22" t="n"/>
    </row>
    <row r="101">
      <c r="A101" s="22" t="n"/>
      <c r="B101" s="22" t="n"/>
      <c r="C101" s="22" t="n"/>
      <c r="D101" s="22" t="n"/>
      <c r="E101" s="22" t="n"/>
      <c r="G101" s="22" t="n"/>
      <c r="H101" s="22" t="n"/>
    </row>
    <row r="102">
      <c r="A102" s="22" t="n"/>
      <c r="B102" s="22" t="n"/>
      <c r="C102" s="22" t="n"/>
      <c r="D102" s="22" t="n"/>
      <c r="E102" s="22" t="n"/>
      <c r="G102" s="22" t="n"/>
      <c r="H102" s="22" t="n"/>
    </row>
    <row r="103">
      <c r="A103" s="22" t="n"/>
      <c r="B103" s="22" t="n"/>
      <c r="C103" s="22" t="n"/>
      <c r="D103" s="22" t="n"/>
      <c r="E103" s="22" t="n"/>
      <c r="G103" s="22" t="n"/>
      <c r="H103" s="22" t="n"/>
    </row>
    <row r="104">
      <c r="A104" s="22" t="n"/>
      <c r="B104" s="22" t="n"/>
      <c r="C104" s="22" t="n"/>
      <c r="D104" s="22" t="n"/>
      <c r="E104" s="22" t="n"/>
      <c r="G104" s="22" t="n"/>
      <c r="H104" s="22" t="n"/>
    </row>
    <row r="105">
      <c r="A105" s="22" t="n"/>
      <c r="B105" s="22" t="n"/>
      <c r="C105" s="22" t="n"/>
      <c r="D105" s="22" t="n"/>
      <c r="E105" s="22" t="n"/>
      <c r="G105" s="22" t="n"/>
      <c r="H105" s="22" t="n"/>
    </row>
    <row r="106">
      <c r="A106" s="22" t="n"/>
      <c r="B106" s="22" t="n"/>
      <c r="C106" s="22" t="n"/>
      <c r="D106" s="22" t="n"/>
      <c r="E106" s="22" t="n"/>
      <c r="G106" s="22" t="n"/>
      <c r="H106" s="22" t="n"/>
    </row>
    <row r="107">
      <c r="A107" s="22" t="n"/>
      <c r="B107" s="22" t="n"/>
      <c r="C107" s="22" t="n"/>
      <c r="D107" s="22" t="n"/>
      <c r="E107" s="22" t="n"/>
      <c r="G107" s="22" t="n"/>
      <c r="H107" s="22" t="n"/>
    </row>
    <row r="108">
      <c r="A108" s="22" t="n"/>
      <c r="B108" s="22" t="n"/>
      <c r="C108" s="22" t="n"/>
      <c r="D108" s="22" t="n"/>
      <c r="E108" s="22" t="n"/>
      <c r="G108" s="22" t="n"/>
      <c r="H108" s="22" t="n"/>
    </row>
    <row r="109">
      <c r="A109" s="22" t="n"/>
      <c r="B109" s="22" t="n"/>
      <c r="C109" s="22" t="n"/>
      <c r="D109" s="22" t="n"/>
      <c r="E109" s="22" t="n"/>
      <c r="G109" s="22" t="n"/>
      <c r="H109" s="22" t="n"/>
    </row>
    <row r="110">
      <c r="A110" s="22" t="n"/>
      <c r="B110" s="22" t="n"/>
      <c r="C110" s="22" t="n"/>
      <c r="D110" s="22" t="n"/>
      <c r="E110" s="22" t="n"/>
      <c r="G110" s="22" t="n"/>
      <c r="H110" s="22" t="n"/>
    </row>
    <row r="111">
      <c r="A111" s="22" t="n"/>
      <c r="B111" s="22" t="n"/>
      <c r="C111" s="22" t="n"/>
      <c r="D111" s="22" t="n"/>
      <c r="E111" s="22" t="n"/>
      <c r="G111" s="22" t="n"/>
      <c r="H111" s="22" t="n"/>
    </row>
    <row r="112">
      <c r="A112" s="22" t="n"/>
      <c r="B112" s="22" t="n"/>
      <c r="C112" s="22" t="n"/>
      <c r="D112" s="22" t="n"/>
      <c r="E112" s="22" t="n"/>
      <c r="G112" s="22" t="n"/>
      <c r="H112" s="22" t="n"/>
    </row>
    <row r="113">
      <c r="A113" s="22" t="n"/>
      <c r="B113" s="22" t="n"/>
      <c r="C113" s="22" t="n"/>
      <c r="D113" s="22" t="n"/>
      <c r="E113" s="22" t="n"/>
      <c r="G113" s="22" t="n"/>
      <c r="H113" s="22" t="n"/>
    </row>
    <row r="114">
      <c r="A114" s="22" t="n"/>
      <c r="B114" s="22" t="n"/>
      <c r="C114" s="22" t="n"/>
      <c r="D114" s="22" t="n"/>
      <c r="E114" s="22" t="n"/>
      <c r="G114" s="22" t="n"/>
      <c r="H114" s="22" t="n"/>
    </row>
    <row r="115">
      <c r="A115" s="22" t="n"/>
      <c r="B115" s="22" t="n"/>
      <c r="C115" s="22" t="n"/>
      <c r="D115" s="22" t="n"/>
      <c r="E115" s="22" t="n"/>
      <c r="G115" s="22" t="n"/>
      <c r="H115" s="22" t="n"/>
    </row>
    <row r="116">
      <c r="A116" s="22" t="n"/>
      <c r="B116" s="22" t="n"/>
      <c r="C116" s="22" t="n"/>
      <c r="D116" s="22" t="n"/>
      <c r="E116" s="22" t="n"/>
      <c r="G116" s="22" t="n"/>
      <c r="H116" s="22" t="n"/>
    </row>
    <row r="117">
      <c r="A117" s="22" t="n"/>
      <c r="B117" s="22" t="n"/>
      <c r="C117" s="22" t="n"/>
      <c r="D117" s="22" t="n"/>
      <c r="E117" s="22" t="n"/>
      <c r="G117" s="22" t="n"/>
      <c r="H117" s="22" t="n"/>
    </row>
    <row r="118">
      <c r="A118" s="22" t="n"/>
      <c r="B118" s="22" t="n"/>
      <c r="C118" s="22" t="n"/>
      <c r="D118" s="22" t="n"/>
      <c r="E118" s="22" t="n"/>
      <c r="G118" s="22" t="n"/>
      <c r="H118" s="22" t="n"/>
    </row>
    <row r="119">
      <c r="A119" s="22" t="n"/>
      <c r="B119" s="22" t="n"/>
      <c r="C119" s="22" t="n"/>
      <c r="D119" s="22" t="n"/>
      <c r="E119" s="22" t="n"/>
      <c r="G119" s="22" t="n"/>
      <c r="H119" s="22" t="n"/>
    </row>
    <row r="120">
      <c r="A120" s="22" t="n"/>
      <c r="B120" s="22" t="n"/>
      <c r="C120" s="22" t="n"/>
      <c r="D120" s="22" t="n"/>
      <c r="E120" s="22" t="n"/>
      <c r="G120" s="22" t="n"/>
      <c r="H120" s="22" t="n"/>
    </row>
    <row r="121">
      <c r="A121" s="22" t="n"/>
      <c r="B121" s="22" t="n"/>
      <c r="C121" s="22" t="n"/>
      <c r="D121" s="22" t="n"/>
      <c r="E121" s="22" t="n"/>
      <c r="G121" s="22" t="n"/>
      <c r="H121" s="22" t="n"/>
    </row>
    <row r="122">
      <c r="A122" s="22" t="n"/>
      <c r="B122" s="22" t="n"/>
      <c r="C122" s="22" t="n"/>
      <c r="D122" s="22" t="n"/>
      <c r="E122" s="22" t="n"/>
      <c r="G122" s="22" t="n"/>
      <c r="H122" s="22" t="n"/>
    </row>
    <row r="123">
      <c r="A123" s="22" t="n"/>
      <c r="B123" s="22" t="n"/>
      <c r="C123" s="22" t="n"/>
      <c r="D123" s="22" t="n"/>
      <c r="E123" s="22" t="n"/>
      <c r="G123" s="22" t="n"/>
      <c r="H123" s="22" t="n"/>
    </row>
    <row r="124">
      <c r="A124" s="22" t="n"/>
      <c r="B124" s="22" t="n"/>
      <c r="C124" s="22" t="n"/>
      <c r="D124" s="22" t="n"/>
      <c r="E124" s="22" t="n"/>
      <c r="G124" s="22" t="n"/>
      <c r="H124" s="22" t="n"/>
    </row>
    <row r="125">
      <c r="A125" s="22" t="n"/>
      <c r="B125" s="22" t="n"/>
      <c r="C125" s="22" t="n"/>
      <c r="D125" s="22" t="n"/>
      <c r="E125" s="22" t="n"/>
      <c r="G125" s="22" t="n"/>
      <c r="H125" s="22" t="n"/>
    </row>
    <row r="126">
      <c r="A126" s="22" t="n"/>
      <c r="B126" s="22" t="n"/>
      <c r="C126" s="22" t="n"/>
      <c r="D126" s="22" t="n"/>
      <c r="E126" s="22" t="n"/>
      <c r="G126" s="22" t="n"/>
      <c r="H126" s="22" t="n"/>
    </row>
    <row r="127">
      <c r="A127" s="22" t="n"/>
      <c r="B127" s="22" t="n"/>
      <c r="C127" s="22" t="n"/>
      <c r="D127" s="22" t="n"/>
      <c r="E127" s="22" t="n"/>
      <c r="G127" s="22" t="n"/>
      <c r="H127" s="22" t="n"/>
    </row>
    <row r="128">
      <c r="A128" s="22" t="n"/>
      <c r="B128" s="22" t="n"/>
      <c r="C128" s="22" t="n"/>
      <c r="D128" s="22" t="n"/>
      <c r="E128" s="22" t="n"/>
      <c r="G128" s="22" t="n"/>
      <c r="H128" s="22" t="n"/>
    </row>
    <row r="129">
      <c r="A129" s="22" t="n"/>
      <c r="B129" s="22" t="n"/>
      <c r="C129" s="22" t="n"/>
      <c r="D129" s="22" t="n"/>
      <c r="E129" s="22" t="n"/>
      <c r="G129" s="22" t="n"/>
      <c r="H129" s="22" t="n"/>
    </row>
    <row r="130">
      <c r="A130" s="22" t="n"/>
      <c r="B130" s="22" t="n"/>
      <c r="C130" s="22" t="n"/>
      <c r="D130" s="22" t="n"/>
      <c r="E130" s="22" t="n"/>
      <c r="G130" s="22" t="n"/>
      <c r="H130" s="22" t="n"/>
    </row>
    <row r="131">
      <c r="A131" s="22" t="n"/>
      <c r="B131" s="22" t="n"/>
      <c r="C131" s="22" t="n"/>
      <c r="D131" s="22" t="n"/>
      <c r="E131" s="22" t="n"/>
      <c r="G131" s="22" t="n"/>
      <c r="H131" s="22" t="n"/>
    </row>
    <row r="132">
      <c r="A132" s="22" t="n"/>
      <c r="B132" s="22" t="n"/>
      <c r="C132" s="22" t="n"/>
      <c r="D132" s="22" t="n"/>
      <c r="E132" s="22" t="n"/>
      <c r="G132" s="22" t="n"/>
      <c r="H132" s="22" t="n"/>
    </row>
    <row r="133">
      <c r="A133" s="22" t="n"/>
      <c r="B133" s="22" t="n"/>
      <c r="C133" s="22" t="n"/>
      <c r="D133" s="22" t="n"/>
      <c r="E133" s="22" t="n"/>
      <c r="G133" s="22" t="n"/>
      <c r="H133" s="22" t="n"/>
    </row>
    <row r="134">
      <c r="A134" s="22" t="n"/>
      <c r="B134" s="22" t="n"/>
      <c r="C134" s="22" t="n"/>
      <c r="D134" s="22" t="n"/>
      <c r="E134" s="22" t="n"/>
      <c r="G134" s="22" t="n"/>
      <c r="H134" s="22" t="n"/>
    </row>
    <row r="135">
      <c r="A135" s="22" t="n"/>
      <c r="B135" s="22" t="n"/>
      <c r="C135" s="22" t="n"/>
      <c r="D135" s="22" t="n"/>
      <c r="E135" s="22" t="n"/>
      <c r="G135" s="22" t="n"/>
      <c r="H135" s="22" t="n"/>
    </row>
    <row r="136">
      <c r="A136" s="22" t="n"/>
      <c r="B136" s="22" t="n"/>
      <c r="C136" s="22" t="n"/>
      <c r="D136" s="22" t="n"/>
      <c r="E136" s="22" t="n"/>
      <c r="G136" s="22" t="n"/>
      <c r="H136" s="22" t="n"/>
    </row>
    <row r="137">
      <c r="A137" s="22" t="n"/>
      <c r="B137" s="22" t="n"/>
      <c r="C137" s="22" t="n"/>
      <c r="D137" s="22" t="n"/>
      <c r="E137" s="22" t="n"/>
      <c r="G137" s="22" t="n"/>
      <c r="H137" s="22" t="n"/>
    </row>
    <row r="138">
      <c r="A138" s="22" t="n"/>
      <c r="B138" s="22" t="n"/>
      <c r="C138" s="22" t="n"/>
      <c r="D138" s="22" t="n"/>
      <c r="E138" s="22" t="n"/>
      <c r="G138" s="22" t="n"/>
      <c r="H138" s="22" t="n"/>
    </row>
    <row r="139">
      <c r="A139" s="22" t="n"/>
      <c r="B139" s="22" t="n"/>
      <c r="C139" s="22" t="n"/>
      <c r="D139" s="22" t="n"/>
      <c r="E139" s="22" t="n"/>
      <c r="G139" s="22" t="n"/>
      <c r="H139" s="22" t="n"/>
    </row>
    <row r="140">
      <c r="A140" s="22" t="n"/>
      <c r="B140" s="22" t="n"/>
      <c r="C140" s="22" t="n"/>
      <c r="D140" s="22" t="n"/>
      <c r="E140" s="22" t="n"/>
      <c r="G140" s="22" t="n"/>
      <c r="H140" s="22" t="n"/>
    </row>
    <row r="141">
      <c r="A141" s="22" t="n"/>
      <c r="B141" s="22" t="n"/>
      <c r="C141" s="22" t="n"/>
      <c r="D141" s="22" t="n"/>
      <c r="E141" s="22" t="n"/>
      <c r="G141" s="22" t="n"/>
      <c r="H141" s="22" t="n"/>
    </row>
    <row r="142">
      <c r="A142" s="22" t="n"/>
      <c r="B142" s="22" t="n"/>
      <c r="C142" s="22" t="n"/>
      <c r="D142" s="22" t="n"/>
      <c r="E142" s="22" t="n"/>
      <c r="G142" s="22" t="n"/>
      <c r="H142" s="22" t="n"/>
    </row>
    <row r="143">
      <c r="A143" s="22" t="n"/>
      <c r="B143" s="22" t="n"/>
      <c r="C143" s="22" t="n"/>
      <c r="D143" s="22" t="n"/>
      <c r="E143" s="22" t="n"/>
      <c r="G143" s="22" t="n"/>
      <c r="H143" s="22" t="n"/>
    </row>
    <row r="144">
      <c r="A144" s="22" t="n"/>
      <c r="B144" s="22" t="n"/>
      <c r="C144" s="22" t="n"/>
      <c r="D144" s="22" t="n"/>
      <c r="E144" s="22" t="n"/>
      <c r="G144" s="22" t="n"/>
      <c r="H144" s="22" t="n"/>
    </row>
    <row r="145">
      <c r="A145" s="22" t="n"/>
      <c r="B145" s="22" t="n"/>
      <c r="C145" s="22" t="n"/>
      <c r="D145" s="22" t="n"/>
      <c r="E145" s="22" t="n"/>
      <c r="G145" s="22" t="n"/>
      <c r="H145" s="22" t="n"/>
    </row>
    <row r="146">
      <c r="A146" s="22" t="n"/>
      <c r="B146" s="22" t="n"/>
      <c r="C146" s="22" t="n"/>
      <c r="D146" s="22" t="n"/>
      <c r="E146" s="22" t="n"/>
      <c r="G146" s="22" t="n"/>
      <c r="H146" s="22" t="n"/>
    </row>
    <row r="147">
      <c r="A147" s="22" t="n"/>
      <c r="B147" s="22" t="n"/>
      <c r="C147" s="22" t="n"/>
      <c r="D147" s="22" t="n"/>
      <c r="E147" s="22" t="n"/>
      <c r="G147" s="22" t="n"/>
      <c r="H147" s="22" t="n"/>
    </row>
    <row r="148">
      <c r="A148" s="22" t="n"/>
      <c r="B148" s="22" t="n"/>
      <c r="C148" s="22" t="n"/>
      <c r="D148" s="22" t="n"/>
      <c r="E148" s="22" t="n"/>
      <c r="G148" s="22" t="n"/>
      <c r="H148" s="22" t="n"/>
    </row>
    <row r="149">
      <c r="A149" s="22" t="n"/>
      <c r="B149" s="22" t="n"/>
      <c r="C149" s="22" t="n"/>
      <c r="D149" s="22" t="n"/>
      <c r="E149" s="22" t="n"/>
      <c r="G149" s="22" t="n"/>
      <c r="H149" s="22" t="n"/>
    </row>
    <row r="150">
      <c r="A150" s="22" t="n"/>
      <c r="B150" s="22" t="n"/>
      <c r="C150" s="22" t="n"/>
      <c r="D150" s="22" t="n"/>
      <c r="E150" s="22" t="n"/>
      <c r="G150" s="22" t="n"/>
      <c r="H150" s="22" t="n"/>
    </row>
    <row r="151">
      <c r="A151" s="22" t="n"/>
      <c r="B151" s="22" t="n"/>
      <c r="C151" s="22" t="n"/>
      <c r="D151" s="22" t="n"/>
      <c r="E151" s="22" t="n"/>
      <c r="G151" s="22" t="n"/>
      <c r="H151" s="22" t="n"/>
    </row>
    <row r="152">
      <c r="A152" s="22" t="n"/>
      <c r="B152" s="22" t="n"/>
      <c r="C152" s="22" t="n"/>
      <c r="D152" s="22" t="n"/>
      <c r="E152" s="22" t="n"/>
      <c r="G152" s="22" t="n"/>
      <c r="H152" s="22" t="n"/>
    </row>
    <row r="153">
      <c r="A153" s="22" t="n"/>
      <c r="B153" s="22" t="n"/>
      <c r="C153" s="22" t="n"/>
      <c r="D153" s="22" t="n"/>
      <c r="E153" s="22" t="n"/>
      <c r="G153" s="22" t="n"/>
      <c r="H153" s="22" t="n"/>
    </row>
    <row r="154">
      <c r="A154" s="22" t="n"/>
      <c r="B154" s="22" t="n"/>
      <c r="C154" s="22" t="n"/>
      <c r="D154" s="22" t="n"/>
      <c r="E154" s="22" t="n"/>
      <c r="G154" s="22" t="n"/>
      <c r="H154" s="22" t="n"/>
    </row>
    <row r="155">
      <c r="A155" s="22" t="n"/>
      <c r="B155" s="22" t="n"/>
      <c r="C155" s="22" t="n"/>
      <c r="D155" s="22" t="n"/>
      <c r="E155" s="22" t="n"/>
      <c r="G155" s="22" t="n"/>
      <c r="H155" s="22" t="n"/>
    </row>
    <row r="156">
      <c r="A156" s="22" t="n"/>
      <c r="B156" s="22" t="n"/>
      <c r="C156" s="22" t="n"/>
      <c r="D156" s="22" t="n"/>
      <c r="E156" s="22" t="n"/>
      <c r="G156" s="22" t="n"/>
      <c r="H156" s="22" t="n"/>
    </row>
    <row r="157">
      <c r="A157" s="22" t="n"/>
      <c r="B157" s="22" t="n"/>
      <c r="C157" s="22" t="n"/>
      <c r="D157" s="22" t="n"/>
      <c r="E157" s="22" t="n"/>
      <c r="G157" s="22" t="n"/>
      <c r="H157" s="22" t="n"/>
    </row>
    <row r="158">
      <c r="A158" s="22" t="n"/>
      <c r="B158" s="22" t="n"/>
      <c r="C158" s="22" t="n"/>
      <c r="D158" s="22" t="n"/>
      <c r="E158" s="22" t="n"/>
      <c r="G158" s="22" t="n"/>
      <c r="H158" s="22" t="n"/>
    </row>
    <row r="159">
      <c r="A159" s="22" t="n"/>
      <c r="B159" s="22" t="n"/>
      <c r="C159" s="22" t="n"/>
      <c r="D159" s="22" t="n"/>
      <c r="E159" s="22" t="n"/>
      <c r="G159" s="22" t="n"/>
      <c r="H159" s="22" t="n"/>
    </row>
    <row r="160">
      <c r="A160" s="22" t="n"/>
      <c r="B160" s="22" t="n"/>
      <c r="C160" s="22" t="n"/>
      <c r="D160" s="22" t="n"/>
      <c r="E160" s="22" t="n"/>
      <c r="G160" s="22" t="n"/>
      <c r="H160" s="22" t="n"/>
    </row>
    <row r="161">
      <c r="A161" s="22" t="n"/>
      <c r="B161" s="22" t="n"/>
      <c r="C161" s="22" t="n"/>
      <c r="D161" s="22" t="n"/>
      <c r="E161" s="22" t="n"/>
      <c r="G161" s="22" t="n"/>
      <c r="H161" s="22" t="n"/>
    </row>
    <row r="162">
      <c r="A162" s="22" t="n"/>
      <c r="B162" s="22" t="n"/>
      <c r="C162" s="22" t="n"/>
      <c r="D162" s="22" t="n"/>
      <c r="E162" s="22" t="n"/>
      <c r="G162" s="22" t="n"/>
      <c r="H162" s="22" t="n"/>
    </row>
    <row r="163">
      <c r="A163" s="22" t="n"/>
      <c r="B163" s="22" t="n"/>
      <c r="C163" s="22" t="n"/>
      <c r="D163" s="22" t="n"/>
      <c r="E163" s="22" t="n"/>
      <c r="G163" s="22" t="n"/>
      <c r="H163" s="22" t="n"/>
    </row>
    <row r="164">
      <c r="A164" s="22" t="n"/>
      <c r="B164" s="22" t="n"/>
      <c r="C164" s="22" t="n"/>
      <c r="D164" s="22" t="n"/>
      <c r="E164" s="22" t="n"/>
      <c r="G164" s="22" t="n"/>
      <c r="H164" s="22" t="n"/>
    </row>
    <row r="165">
      <c r="A165" s="22" t="n"/>
      <c r="B165" s="22" t="n"/>
      <c r="C165" s="22" t="n"/>
      <c r="D165" s="22" t="n"/>
      <c r="E165" s="22" t="n"/>
      <c r="G165" s="22" t="n"/>
      <c r="H165" s="22" t="n"/>
    </row>
    <row r="166">
      <c r="A166" s="22" t="n"/>
      <c r="B166" s="22" t="n"/>
      <c r="C166" s="22" t="n"/>
      <c r="D166" s="22" t="n"/>
      <c r="E166" s="22" t="n"/>
      <c r="G166" s="22" t="n"/>
      <c r="H166" s="22" t="n"/>
    </row>
    <row r="167">
      <c r="A167" s="22" t="n"/>
      <c r="B167" s="22" t="n"/>
      <c r="C167" s="22" t="n"/>
      <c r="D167" s="22" t="n"/>
      <c r="E167" s="22" t="n"/>
      <c r="G167" s="22" t="n"/>
      <c r="H167" s="22" t="n"/>
    </row>
    <row r="168">
      <c r="A168" s="22" t="n"/>
      <c r="B168" s="22" t="n"/>
      <c r="C168" s="22" t="n"/>
      <c r="D168" s="22" t="n"/>
      <c r="E168" s="22" t="n"/>
      <c r="G168" s="22" t="n"/>
      <c r="H168" s="22" t="n"/>
    </row>
    <row r="169">
      <c r="A169" s="22" t="n"/>
      <c r="B169" s="22" t="n"/>
      <c r="C169" s="22" t="n"/>
      <c r="D169" s="22" t="n"/>
      <c r="E169" s="22" t="n"/>
      <c r="G169" s="22" t="n"/>
      <c r="H169" s="22" t="n"/>
    </row>
    <row r="170">
      <c r="A170" s="22" t="n"/>
      <c r="B170" s="22" t="n"/>
      <c r="C170" s="22" t="n"/>
      <c r="D170" s="22" t="n"/>
      <c r="E170" s="22" t="n"/>
      <c r="G170" s="22" t="n"/>
      <c r="H170" s="22" t="n"/>
    </row>
    <row r="171">
      <c r="A171" s="22" t="n"/>
      <c r="B171" s="22" t="n"/>
      <c r="C171" s="22" t="n"/>
      <c r="D171" s="22" t="n"/>
      <c r="E171" s="22" t="n"/>
      <c r="G171" s="22" t="n"/>
      <c r="H171" s="22" t="n"/>
    </row>
    <row r="172">
      <c r="A172" s="22" t="n"/>
      <c r="B172" s="22" t="n"/>
      <c r="C172" s="22" t="n"/>
      <c r="D172" s="22" t="n"/>
      <c r="E172" s="22" t="n"/>
      <c r="G172" s="22" t="n"/>
      <c r="H172" s="22" t="n"/>
    </row>
    <row r="173">
      <c r="A173" s="22" t="n"/>
      <c r="B173" s="22" t="n"/>
      <c r="C173" s="22" t="n"/>
      <c r="D173" s="22" t="n"/>
      <c r="E173" s="22" t="n"/>
      <c r="G173" s="22" t="n"/>
      <c r="H173" s="22" t="n"/>
    </row>
    <row r="174">
      <c r="A174" s="22" t="n"/>
      <c r="B174" s="22" t="n"/>
      <c r="C174" s="22" t="n"/>
      <c r="D174" s="22" t="n"/>
      <c r="E174" s="22" t="n"/>
      <c r="G174" s="22" t="n"/>
      <c r="H174" s="22" t="n"/>
    </row>
    <row r="175">
      <c r="A175" s="22" t="n"/>
      <c r="B175" s="22" t="n"/>
      <c r="C175" s="22" t="n"/>
      <c r="D175" s="22" t="n"/>
      <c r="E175" s="22" t="n"/>
      <c r="G175" s="22" t="n"/>
      <c r="H175" s="22" t="n"/>
    </row>
    <row r="176">
      <c r="A176" s="22" t="n"/>
      <c r="B176" s="22" t="n"/>
      <c r="C176" s="22" t="n"/>
      <c r="D176" s="22" t="n"/>
      <c r="E176" s="22" t="n"/>
      <c r="G176" s="22" t="n"/>
      <c r="H176" s="22" t="n"/>
    </row>
    <row r="177">
      <c r="A177" s="22" t="n"/>
      <c r="B177" s="22" t="n"/>
      <c r="C177" s="22" t="n"/>
      <c r="D177" s="22" t="n"/>
      <c r="E177" s="22" t="n"/>
      <c r="G177" s="22" t="n"/>
      <c r="H177" s="22" t="n"/>
    </row>
    <row r="178">
      <c r="A178" s="22" t="n"/>
      <c r="B178" s="22" t="n"/>
      <c r="C178" s="22" t="n"/>
      <c r="D178" s="22" t="n"/>
      <c r="E178" s="22" t="n"/>
      <c r="G178" s="22" t="n"/>
      <c r="H178" s="22" t="n"/>
    </row>
    <row r="179">
      <c r="A179" s="22" t="n"/>
      <c r="B179" s="22" t="n"/>
      <c r="C179" s="22" t="n"/>
      <c r="D179" s="22" t="n"/>
      <c r="E179" s="22" t="n"/>
      <c r="G179" s="22" t="n"/>
      <c r="H179" s="22" t="n"/>
    </row>
    <row r="180">
      <c r="A180" s="22" t="n"/>
      <c r="B180" s="22" t="n"/>
      <c r="C180" s="22" t="n"/>
      <c r="D180" s="22" t="n"/>
      <c r="E180" s="22" t="n"/>
      <c r="G180" s="22" t="n"/>
      <c r="H180" s="22" t="n"/>
    </row>
    <row r="181">
      <c r="A181" s="22" t="n"/>
      <c r="B181" s="22" t="n"/>
      <c r="C181" s="22" t="n"/>
      <c r="D181" s="22" t="n"/>
      <c r="E181" s="22" t="n"/>
      <c r="G181" s="22" t="n"/>
      <c r="H181" s="22" t="n"/>
    </row>
    <row r="182">
      <c r="A182" s="22" t="n"/>
      <c r="B182" s="22" t="n"/>
      <c r="C182" s="22" t="n"/>
      <c r="D182" s="22" t="n"/>
      <c r="E182" s="22" t="n"/>
      <c r="G182" s="22" t="n"/>
      <c r="H182" s="22" t="n"/>
    </row>
    <row r="183">
      <c r="A183" s="22" t="n"/>
      <c r="B183" s="22" t="n"/>
      <c r="C183" s="22" t="n"/>
      <c r="D183" s="22" t="n"/>
      <c r="E183" s="22" t="n"/>
      <c r="G183" s="22" t="n"/>
      <c r="H183" s="22" t="n"/>
    </row>
    <row r="184">
      <c r="A184" s="22" t="n"/>
      <c r="B184" s="22" t="n"/>
      <c r="C184" s="22" t="n"/>
      <c r="D184" s="22" t="n"/>
      <c r="E184" s="22" t="n"/>
      <c r="G184" s="22" t="n"/>
      <c r="H184" s="22" t="n"/>
    </row>
    <row r="185">
      <c r="A185" s="22" t="n"/>
      <c r="B185" s="22" t="n"/>
      <c r="C185" s="22" t="n"/>
      <c r="D185" s="22" t="n"/>
      <c r="E185" s="22" t="n"/>
      <c r="G185" s="22" t="n"/>
      <c r="H185" s="22" t="n"/>
    </row>
    <row r="186">
      <c r="A186" s="22" t="n"/>
      <c r="B186" s="22" t="n"/>
      <c r="C186" s="22" t="n"/>
      <c r="D186" s="22" t="n"/>
      <c r="E186" s="22" t="n"/>
      <c r="G186" s="22" t="n"/>
      <c r="H186" s="22" t="n"/>
    </row>
    <row r="187">
      <c r="A187" s="22" t="n"/>
      <c r="B187" s="22" t="n"/>
      <c r="C187" s="22" t="n"/>
      <c r="D187" s="22" t="n"/>
      <c r="E187" s="22" t="n"/>
      <c r="G187" s="22" t="n"/>
      <c r="H187" s="22" t="n"/>
    </row>
    <row r="188">
      <c r="A188" s="22" t="n"/>
      <c r="B188" s="22" t="n"/>
      <c r="C188" s="22" t="n"/>
      <c r="D188" s="22" t="n"/>
      <c r="E188" s="22" t="n"/>
      <c r="G188" s="22" t="n"/>
      <c r="H188" s="22" t="n"/>
    </row>
    <row r="189">
      <c r="A189" s="22" t="n"/>
      <c r="B189" s="22" t="n"/>
      <c r="C189" s="22" t="n"/>
      <c r="D189" s="22" t="n"/>
      <c r="E189" s="22" t="n"/>
      <c r="G189" s="22" t="n"/>
      <c r="H189" s="22" t="n"/>
    </row>
    <row r="190">
      <c r="A190" s="22" t="n"/>
      <c r="B190" s="22" t="n"/>
      <c r="C190" s="22" t="n"/>
      <c r="D190" s="22" t="n"/>
      <c r="E190" s="22" t="n"/>
      <c r="G190" s="22" t="n"/>
      <c r="H190" s="22" t="n"/>
    </row>
    <row r="191">
      <c r="A191" s="22" t="n"/>
      <c r="B191" s="22" t="n"/>
      <c r="C191" s="22" t="n"/>
      <c r="D191" s="22" t="n"/>
      <c r="E191" s="22" t="n"/>
      <c r="G191" s="22" t="n"/>
      <c r="H191" s="22" t="n"/>
    </row>
    <row r="192">
      <c r="A192" s="22" t="n"/>
      <c r="B192" s="22" t="n"/>
      <c r="C192" s="22" t="n"/>
      <c r="D192" s="22" t="n"/>
      <c r="E192" s="22" t="n"/>
      <c r="G192" s="22" t="n"/>
      <c r="H192" s="22" t="n"/>
    </row>
    <row r="193">
      <c r="A193" s="22" t="n"/>
      <c r="B193" s="22" t="n"/>
      <c r="C193" s="22" t="n"/>
      <c r="D193" s="22" t="n"/>
      <c r="E193" s="22" t="n"/>
      <c r="G193" s="22" t="n"/>
      <c r="H193" s="22" t="n"/>
    </row>
    <row r="194">
      <c r="A194" s="22" t="n"/>
      <c r="B194" s="22" t="n"/>
      <c r="C194" s="22" t="n"/>
      <c r="D194" s="22" t="n"/>
      <c r="E194" s="22" t="n"/>
      <c r="G194" s="22" t="n"/>
      <c r="H194" s="22" t="n"/>
    </row>
    <row r="195">
      <c r="A195" s="22" t="n"/>
      <c r="B195" s="22" t="n"/>
      <c r="C195" s="22" t="n"/>
      <c r="D195" s="22" t="n"/>
      <c r="E195" s="22" t="n"/>
      <c r="G195" s="22" t="n"/>
      <c r="H195" s="22" t="n"/>
    </row>
    <row r="196">
      <c r="A196" s="22" t="n"/>
      <c r="B196" s="22" t="n"/>
      <c r="C196" s="22" t="n"/>
      <c r="D196" s="22" t="n"/>
      <c r="E196" s="22" t="n"/>
      <c r="G196" s="22" t="n"/>
      <c r="H196" s="22" t="n"/>
    </row>
    <row r="197">
      <c r="A197" s="22" t="n"/>
      <c r="B197" s="22" t="n"/>
      <c r="C197" s="22" t="n"/>
      <c r="D197" s="22" t="n"/>
      <c r="E197" s="22" t="n"/>
      <c r="G197" s="22" t="n"/>
      <c r="H197" s="22" t="n"/>
    </row>
    <row r="198">
      <c r="A198" s="22" t="n"/>
      <c r="B198" s="22" t="n"/>
      <c r="C198" s="22" t="n"/>
      <c r="D198" s="22" t="n"/>
      <c r="E198" s="22" t="n"/>
      <c r="G198" s="22" t="n"/>
      <c r="H198" s="22" t="n"/>
    </row>
    <row r="199">
      <c r="A199" s="22" t="n"/>
      <c r="B199" s="22" t="n"/>
      <c r="C199" s="22" t="n"/>
      <c r="D199" s="22" t="n"/>
      <c r="E199" s="22" t="n"/>
      <c r="G199" s="22" t="n"/>
      <c r="H199" s="22" t="n"/>
    </row>
  </sheetData>
  <dataValidations count="2">
    <dataValidation sqref="I2:I1000" showDropDown="0" showInputMessage="0" showErrorMessage="0" allowBlank="1" errorTitle="Not in list" error="Pick a value from the list" type="list">
      <formula1>"Y,N"</formula1>
    </dataValidation>
    <dataValidation sqref="F2:F1000" showDropDown="0" showInputMessage="0" showErrorMessage="0" allowBlank="1" errorTitle="Not in list" error="Pick a value from the list" type="list">
      <formula1>"M,F"</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99"/>
  <sheetViews>
    <sheetView zoomScale="110"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40" customWidth="1" min="2" max="2"/>
    <col width="14" customWidth="1" min="3" max="3"/>
    <col width="11" customWidth="1" min="4" max="4"/>
    <col width="23.9" customWidth="1" min="5" max="5"/>
    <col width="9.600000000000001" customWidth="1" min="6" max="6"/>
    <col width="60" customWidth="1" min="7" max="7"/>
  </cols>
  <sheetData>
    <row r="1" ht="24" customHeight="1">
      <c r="A1" s="16" t="inlineStr">
        <is>
          <t>Service_ID</t>
        </is>
      </c>
      <c r="B1" s="16" t="inlineStr">
        <is>
          <t>Description</t>
        </is>
      </c>
      <c r="C1" s="16" t="inlineStr">
        <is>
          <t>Unit_Price</t>
        </is>
      </c>
      <c r="D1" s="16" t="inlineStr">
        <is>
          <t>Unit</t>
        </is>
      </c>
      <c r="E1" s="16" t="inlineStr">
        <is>
          <t>Cost_Share_Eligible</t>
        </is>
      </c>
      <c r="F1" s="16" t="inlineStr">
        <is>
          <t>Active</t>
        </is>
      </c>
      <c r="G1" s="16" t="inlineStr">
        <is>
          <t>Notes</t>
        </is>
      </c>
    </row>
    <row r="2">
      <c r="A2" s="20" t="inlineStr">
        <is>
          <t>GENO</t>
        </is>
      </c>
      <c r="B2" s="17" t="inlineStr">
        <is>
          <t>Genotyping with conditions and parentage</t>
        </is>
      </c>
      <c r="C2" s="25" t="n">
        <v>18</v>
      </c>
      <c r="D2" s="17" t="inlineStr">
        <is>
          <t>Per animal</t>
        </is>
      </c>
      <c r="E2" s="17" t="inlineStr">
        <is>
          <t>Y</t>
        </is>
      </c>
      <c r="F2" s="17" t="inlineStr">
        <is>
          <t>Y</t>
        </is>
      </c>
      <c r="G2" s="15" t="inlineStr">
        <is>
          <t>The standard test: one price per TSU received.</t>
        </is>
      </c>
    </row>
    <row r="3">
      <c r="A3" s="20" t="inlineStr">
        <is>
          <t>TSU</t>
        </is>
      </c>
      <c r="B3" s="17" t="inlineStr">
        <is>
          <t>Tissue Sampling Units (TSUs)</t>
        </is>
      </c>
      <c r="C3" s="25" t="n">
        <v>2.75</v>
      </c>
      <c r="D3" s="17" t="inlineStr">
        <is>
          <t>Per unit</t>
        </is>
      </c>
      <c r="E3" s="17" t="inlineStr">
        <is>
          <t>N</t>
        </is>
      </c>
      <c r="F3" s="17" t="inlineStr">
        <is>
          <t>Y</t>
        </is>
      </c>
      <c r="G3" s="15" t="inlineStr">
        <is>
          <t>Only when MSU supplies TSUs to a producer. Not added automatically: add a line to Invoice_Lines with the invoice ID, pick TSU and enter the quantity. Not covered by cost-share.</t>
        </is>
      </c>
    </row>
    <row r="4">
      <c r="A4" s="20" t="inlineStr">
        <is>
          <t>OTHER</t>
        </is>
      </c>
      <c r="B4" s="17" t="inlineStr">
        <is>
          <t>Other charge</t>
        </is>
      </c>
      <c r="C4" s="25" t="n"/>
      <c r="D4" s="17" t="inlineStr">
        <is>
          <t>Flat</t>
        </is>
      </c>
      <c r="E4" s="17" t="inlineStr">
        <is>
          <t>N</t>
        </is>
      </c>
      <c r="F4" s="17" t="inlineStr">
        <is>
          <t>Y</t>
        </is>
      </c>
      <c r="G4" s="15" t="inlineStr">
        <is>
          <t>For one-off charges. Type the description and price on the invoice line.</t>
        </is>
      </c>
    </row>
    <row r="5">
      <c r="A5" s="20" t="inlineStr">
        <is>
          <t>CREDIT</t>
        </is>
      </c>
      <c r="B5" s="17" t="inlineStr">
        <is>
          <t>Credit</t>
        </is>
      </c>
      <c r="C5" s="25" t="n"/>
      <c r="D5" s="17" t="inlineStr">
        <is>
          <t>Flat</t>
        </is>
      </c>
      <c r="E5" s="17" t="inlineStr">
        <is>
          <t>N</t>
        </is>
      </c>
      <c r="F5" s="17" t="inlineStr">
        <is>
          <t>Y</t>
        </is>
      </c>
      <c r="G5" s="15" t="inlineStr">
        <is>
          <t>Enter the price as a negative number on the invoice line.</t>
        </is>
      </c>
    </row>
    <row r="6">
      <c r="A6" s="22" t="n"/>
      <c r="C6" s="26" t="n"/>
    </row>
    <row r="7">
      <c r="A7" s="22" t="n"/>
      <c r="C7" s="26" t="n"/>
    </row>
    <row r="8">
      <c r="A8" s="22" t="n"/>
      <c r="C8" s="26" t="n"/>
    </row>
    <row r="9">
      <c r="A9" s="22" t="n"/>
      <c r="C9" s="26" t="n"/>
    </row>
    <row r="10">
      <c r="A10" s="22" t="n"/>
      <c r="C10" s="26" t="n"/>
    </row>
    <row r="11">
      <c r="A11" s="22" t="n"/>
      <c r="C11" s="26" t="n"/>
    </row>
    <row r="12">
      <c r="A12" s="22" t="n"/>
      <c r="C12" s="26" t="n"/>
    </row>
    <row r="13">
      <c r="A13" s="22" t="n"/>
      <c r="C13" s="26" t="n"/>
    </row>
    <row r="14">
      <c r="A14" s="22" t="n"/>
      <c r="C14" s="26" t="n"/>
    </row>
    <row r="15">
      <c r="A15" s="22" t="n"/>
      <c r="C15" s="26" t="n"/>
    </row>
    <row r="16">
      <c r="A16" s="22" t="n"/>
      <c r="C16" s="26" t="n"/>
    </row>
    <row r="17">
      <c r="A17" s="22" t="n"/>
      <c r="C17" s="26" t="n"/>
    </row>
    <row r="18">
      <c r="A18" s="22" t="n"/>
      <c r="C18" s="26" t="n"/>
    </row>
    <row r="19">
      <c r="A19" s="22" t="n"/>
      <c r="C19" s="26" t="n"/>
    </row>
    <row r="20">
      <c r="A20" s="22" t="n"/>
      <c r="C20" s="26" t="n"/>
    </row>
    <row r="21">
      <c r="A21" s="22" t="n"/>
      <c r="C21" s="26" t="n"/>
    </row>
    <row r="22">
      <c r="A22" s="22" t="n"/>
      <c r="C22" s="26" t="n"/>
    </row>
    <row r="23">
      <c r="A23" s="22" t="n"/>
      <c r="C23" s="26" t="n"/>
    </row>
    <row r="24">
      <c r="A24" s="22" t="n"/>
      <c r="C24" s="26" t="n"/>
    </row>
    <row r="25">
      <c r="A25" s="22" t="n"/>
      <c r="C25" s="26" t="n"/>
    </row>
    <row r="26">
      <c r="A26" s="22" t="n"/>
      <c r="C26" s="26" t="n"/>
    </row>
    <row r="27">
      <c r="A27" s="22" t="n"/>
      <c r="C27" s="26" t="n"/>
    </row>
    <row r="28">
      <c r="A28" s="22" t="n"/>
      <c r="C28" s="26" t="n"/>
    </row>
    <row r="29">
      <c r="A29" s="22" t="n"/>
      <c r="C29" s="26" t="n"/>
    </row>
    <row r="30">
      <c r="A30" s="22" t="n"/>
      <c r="C30" s="26" t="n"/>
    </row>
    <row r="31">
      <c r="A31" s="22" t="n"/>
      <c r="C31" s="26" t="n"/>
    </row>
    <row r="32">
      <c r="A32" s="22" t="n"/>
      <c r="C32" s="26" t="n"/>
    </row>
    <row r="33">
      <c r="A33" s="22" t="n"/>
      <c r="C33" s="26" t="n"/>
    </row>
    <row r="34">
      <c r="A34" s="22" t="n"/>
      <c r="C34" s="26" t="n"/>
    </row>
    <row r="35">
      <c r="A35" s="22" t="n"/>
      <c r="C35" s="26" t="n"/>
    </row>
    <row r="36">
      <c r="A36" s="22" t="n"/>
      <c r="C36" s="26" t="n"/>
    </row>
    <row r="37">
      <c r="A37" s="22" t="n"/>
      <c r="C37" s="26" t="n"/>
    </row>
    <row r="38">
      <c r="A38" s="22" t="n"/>
      <c r="C38" s="26" t="n"/>
    </row>
    <row r="39">
      <c r="A39" s="22" t="n"/>
      <c r="C39" s="26" t="n"/>
    </row>
    <row r="40">
      <c r="A40" s="22" t="n"/>
      <c r="C40" s="26" t="n"/>
    </row>
    <row r="41">
      <c r="A41" s="22" t="n"/>
      <c r="C41" s="26" t="n"/>
    </row>
    <row r="42">
      <c r="A42" s="22" t="n"/>
      <c r="C42" s="26" t="n"/>
    </row>
    <row r="43">
      <c r="A43" s="22" t="n"/>
      <c r="C43" s="26" t="n"/>
    </row>
    <row r="44">
      <c r="A44" s="22" t="n"/>
      <c r="C44" s="26" t="n"/>
    </row>
    <row r="45">
      <c r="A45" s="22" t="n"/>
      <c r="C45" s="26" t="n"/>
    </row>
    <row r="46">
      <c r="A46" s="22" t="n"/>
      <c r="C46" s="26" t="n"/>
    </row>
    <row r="47">
      <c r="A47" s="22" t="n"/>
      <c r="C47" s="26" t="n"/>
    </row>
    <row r="48">
      <c r="A48" s="22" t="n"/>
      <c r="C48" s="26" t="n"/>
    </row>
    <row r="49">
      <c r="A49" s="22" t="n"/>
      <c r="C49" s="26" t="n"/>
    </row>
    <row r="50">
      <c r="A50" s="22" t="n"/>
      <c r="C50" s="26" t="n"/>
    </row>
    <row r="51">
      <c r="A51" s="22" t="n"/>
      <c r="C51" s="26" t="n"/>
    </row>
    <row r="52">
      <c r="A52" s="22" t="n"/>
      <c r="C52" s="26" t="n"/>
    </row>
    <row r="53">
      <c r="A53" s="22" t="n"/>
      <c r="C53" s="26" t="n"/>
    </row>
    <row r="54">
      <c r="A54" s="22" t="n"/>
      <c r="C54" s="26" t="n"/>
    </row>
    <row r="55">
      <c r="A55" s="22" t="n"/>
      <c r="C55" s="26" t="n"/>
    </row>
    <row r="56">
      <c r="A56" s="22" t="n"/>
      <c r="C56" s="26" t="n"/>
    </row>
    <row r="57">
      <c r="A57" s="22" t="n"/>
      <c r="C57" s="26" t="n"/>
    </row>
    <row r="58">
      <c r="A58" s="22" t="n"/>
      <c r="C58" s="26" t="n"/>
    </row>
    <row r="59">
      <c r="A59" s="22" t="n"/>
      <c r="C59" s="26" t="n"/>
    </row>
    <row r="60">
      <c r="A60" s="22" t="n"/>
      <c r="C60" s="26" t="n"/>
    </row>
    <row r="61">
      <c r="A61" s="22" t="n"/>
      <c r="C61" s="26" t="n"/>
    </row>
    <row r="62">
      <c r="A62" s="22" t="n"/>
      <c r="C62" s="26" t="n"/>
    </row>
    <row r="63">
      <c r="A63" s="22" t="n"/>
      <c r="C63" s="26" t="n"/>
    </row>
    <row r="64">
      <c r="A64" s="22" t="n"/>
      <c r="C64" s="26" t="n"/>
    </row>
    <row r="65">
      <c r="A65" s="22" t="n"/>
      <c r="C65" s="26" t="n"/>
    </row>
    <row r="66">
      <c r="A66" s="22" t="n"/>
      <c r="C66" s="26" t="n"/>
    </row>
    <row r="67">
      <c r="A67" s="22" t="n"/>
      <c r="C67" s="26" t="n"/>
    </row>
    <row r="68">
      <c r="A68" s="22" t="n"/>
      <c r="C68" s="26" t="n"/>
    </row>
    <row r="69">
      <c r="A69" s="22" t="n"/>
      <c r="C69" s="26" t="n"/>
    </row>
    <row r="70">
      <c r="A70" s="22" t="n"/>
      <c r="C70" s="26" t="n"/>
    </row>
    <row r="71">
      <c r="A71" s="22" t="n"/>
      <c r="C71" s="26" t="n"/>
    </row>
    <row r="72">
      <c r="A72" s="22" t="n"/>
      <c r="C72" s="26" t="n"/>
    </row>
    <row r="73">
      <c r="A73" s="22" t="n"/>
      <c r="C73" s="26" t="n"/>
    </row>
    <row r="74">
      <c r="A74" s="22" t="n"/>
      <c r="C74" s="26" t="n"/>
    </row>
    <row r="75">
      <c r="A75" s="22" t="n"/>
      <c r="C75" s="26" t="n"/>
    </row>
    <row r="76">
      <c r="A76" s="22" t="n"/>
      <c r="C76" s="26" t="n"/>
    </row>
    <row r="77">
      <c r="A77" s="22" t="n"/>
      <c r="C77" s="26" t="n"/>
    </row>
    <row r="78">
      <c r="A78" s="22" t="n"/>
      <c r="C78" s="26" t="n"/>
    </row>
    <row r="79">
      <c r="A79" s="22" t="n"/>
      <c r="C79" s="26" t="n"/>
    </row>
    <row r="80">
      <c r="A80" s="22" t="n"/>
      <c r="C80" s="26" t="n"/>
    </row>
    <row r="81">
      <c r="A81" s="22" t="n"/>
      <c r="C81" s="26" t="n"/>
    </row>
    <row r="82">
      <c r="A82" s="22" t="n"/>
      <c r="C82" s="26" t="n"/>
    </row>
    <row r="83">
      <c r="A83" s="22" t="n"/>
      <c r="C83" s="26" t="n"/>
    </row>
    <row r="84">
      <c r="A84" s="22" t="n"/>
      <c r="C84" s="26" t="n"/>
    </row>
    <row r="85">
      <c r="A85" s="22" t="n"/>
      <c r="C85" s="26" t="n"/>
    </row>
    <row r="86">
      <c r="A86" s="22" t="n"/>
      <c r="C86" s="26" t="n"/>
    </row>
    <row r="87">
      <c r="A87" s="22" t="n"/>
      <c r="C87" s="26" t="n"/>
    </row>
    <row r="88">
      <c r="A88" s="22" t="n"/>
      <c r="C88" s="26" t="n"/>
    </row>
    <row r="89">
      <c r="A89" s="22" t="n"/>
      <c r="C89" s="26" t="n"/>
    </row>
    <row r="90">
      <c r="A90" s="22" t="n"/>
      <c r="C90" s="26" t="n"/>
    </row>
    <row r="91">
      <c r="A91" s="22" t="n"/>
      <c r="C91" s="26" t="n"/>
    </row>
    <row r="92">
      <c r="A92" s="22" t="n"/>
      <c r="C92" s="26" t="n"/>
    </row>
    <row r="93">
      <c r="A93" s="22" t="n"/>
      <c r="C93" s="26" t="n"/>
    </row>
    <row r="94">
      <c r="A94" s="22" t="n"/>
      <c r="C94" s="26" t="n"/>
    </row>
    <row r="95">
      <c r="A95" s="22" t="n"/>
      <c r="C95" s="26" t="n"/>
    </row>
    <row r="96">
      <c r="A96" s="22" t="n"/>
      <c r="C96" s="26" t="n"/>
    </row>
    <row r="97">
      <c r="A97" s="22" t="n"/>
      <c r="C97" s="26" t="n"/>
    </row>
    <row r="98">
      <c r="A98" s="22" t="n"/>
      <c r="C98" s="26" t="n"/>
    </row>
    <row r="99">
      <c r="A99" s="22" t="n"/>
      <c r="C99" s="26" t="n"/>
    </row>
    <row r="100">
      <c r="A100" s="22" t="n"/>
      <c r="C100" s="26" t="n"/>
    </row>
    <row r="101">
      <c r="A101" s="22" t="n"/>
      <c r="C101" s="26" t="n"/>
    </row>
    <row r="102">
      <c r="A102" s="22" t="n"/>
      <c r="C102" s="26" t="n"/>
    </row>
    <row r="103">
      <c r="A103" s="22" t="n"/>
      <c r="C103" s="26" t="n"/>
    </row>
    <row r="104">
      <c r="A104" s="22" t="n"/>
      <c r="C104" s="26" t="n"/>
    </row>
    <row r="105">
      <c r="A105" s="22" t="n"/>
      <c r="C105" s="26" t="n"/>
    </row>
    <row r="106">
      <c r="A106" s="22" t="n"/>
      <c r="C106" s="26" t="n"/>
    </row>
    <row r="107">
      <c r="A107" s="22" t="n"/>
      <c r="C107" s="26" t="n"/>
    </row>
    <row r="108">
      <c r="A108" s="22" t="n"/>
      <c r="C108" s="26" t="n"/>
    </row>
    <row r="109">
      <c r="A109" s="22" t="n"/>
      <c r="C109" s="26" t="n"/>
    </row>
    <row r="110">
      <c r="A110" s="22" t="n"/>
      <c r="C110" s="26" t="n"/>
    </row>
    <row r="111">
      <c r="A111" s="22" t="n"/>
      <c r="C111" s="26" t="n"/>
    </row>
    <row r="112">
      <c r="A112" s="22" t="n"/>
      <c r="C112" s="26" t="n"/>
    </row>
    <row r="113">
      <c r="A113" s="22" t="n"/>
      <c r="C113" s="26" t="n"/>
    </row>
    <row r="114">
      <c r="A114" s="22" t="n"/>
      <c r="C114" s="26" t="n"/>
    </row>
    <row r="115">
      <c r="A115" s="22" t="n"/>
      <c r="C115" s="26" t="n"/>
    </row>
    <row r="116">
      <c r="A116" s="22" t="n"/>
      <c r="C116" s="26" t="n"/>
    </row>
    <row r="117">
      <c r="A117" s="22" t="n"/>
      <c r="C117" s="26" t="n"/>
    </row>
    <row r="118">
      <c r="A118" s="22" t="n"/>
      <c r="C118" s="26" t="n"/>
    </row>
    <row r="119">
      <c r="A119" s="22" t="n"/>
      <c r="C119" s="26" t="n"/>
    </row>
    <row r="120">
      <c r="A120" s="22" t="n"/>
      <c r="C120" s="26" t="n"/>
    </row>
    <row r="121">
      <c r="A121" s="22" t="n"/>
      <c r="C121" s="26" t="n"/>
    </row>
    <row r="122">
      <c r="A122" s="22" t="n"/>
      <c r="C122" s="26" t="n"/>
    </row>
    <row r="123">
      <c r="A123" s="22" t="n"/>
      <c r="C123" s="26" t="n"/>
    </row>
    <row r="124">
      <c r="A124" s="22" t="n"/>
      <c r="C124" s="26" t="n"/>
    </row>
    <row r="125">
      <c r="A125" s="22" t="n"/>
      <c r="C125" s="26" t="n"/>
    </row>
    <row r="126">
      <c r="A126" s="22" t="n"/>
      <c r="C126" s="26" t="n"/>
    </row>
    <row r="127">
      <c r="A127" s="22" t="n"/>
      <c r="C127" s="26" t="n"/>
    </row>
    <row r="128">
      <c r="A128" s="22" t="n"/>
      <c r="C128" s="26" t="n"/>
    </row>
    <row r="129">
      <c r="A129" s="22" t="n"/>
      <c r="C129" s="26" t="n"/>
    </row>
    <row r="130">
      <c r="A130" s="22" t="n"/>
      <c r="C130" s="26" t="n"/>
    </row>
    <row r="131">
      <c r="A131" s="22" t="n"/>
      <c r="C131" s="26" t="n"/>
    </row>
    <row r="132">
      <c r="A132" s="22" t="n"/>
      <c r="C132" s="26" t="n"/>
    </row>
    <row r="133">
      <c r="A133" s="22" t="n"/>
      <c r="C133" s="26" t="n"/>
    </row>
    <row r="134">
      <c r="A134" s="22" t="n"/>
      <c r="C134" s="26" t="n"/>
    </row>
    <row r="135">
      <c r="A135" s="22" t="n"/>
      <c r="C135" s="26" t="n"/>
    </row>
    <row r="136">
      <c r="A136" s="22" t="n"/>
      <c r="C136" s="26" t="n"/>
    </row>
    <row r="137">
      <c r="A137" s="22" t="n"/>
      <c r="C137" s="26" t="n"/>
    </row>
    <row r="138">
      <c r="A138" s="22" t="n"/>
      <c r="C138" s="26" t="n"/>
    </row>
    <row r="139">
      <c r="A139" s="22" t="n"/>
      <c r="C139" s="26" t="n"/>
    </row>
    <row r="140">
      <c r="A140" s="22" t="n"/>
      <c r="C140" s="26" t="n"/>
    </row>
    <row r="141">
      <c r="A141" s="22" t="n"/>
      <c r="C141" s="26" t="n"/>
    </row>
    <row r="142">
      <c r="A142" s="22" t="n"/>
      <c r="C142" s="26" t="n"/>
    </row>
    <row r="143">
      <c r="A143" s="22" t="n"/>
      <c r="C143" s="26" t="n"/>
    </row>
    <row r="144">
      <c r="A144" s="22" t="n"/>
      <c r="C144" s="26" t="n"/>
    </row>
    <row r="145">
      <c r="A145" s="22" t="n"/>
      <c r="C145" s="26" t="n"/>
    </row>
    <row r="146">
      <c r="A146" s="22" t="n"/>
      <c r="C146" s="26" t="n"/>
    </row>
    <row r="147">
      <c r="A147" s="22" t="n"/>
      <c r="C147" s="26" t="n"/>
    </row>
    <row r="148">
      <c r="A148" s="22" t="n"/>
      <c r="C148" s="26" t="n"/>
    </row>
    <row r="149">
      <c r="A149" s="22" t="n"/>
      <c r="C149" s="26" t="n"/>
    </row>
    <row r="150">
      <c r="A150" s="22" t="n"/>
      <c r="C150" s="26" t="n"/>
    </row>
    <row r="151">
      <c r="A151" s="22" t="n"/>
      <c r="C151" s="26" t="n"/>
    </row>
    <row r="152">
      <c r="A152" s="22" t="n"/>
      <c r="C152" s="26" t="n"/>
    </row>
    <row r="153">
      <c r="A153" s="22" t="n"/>
      <c r="C153" s="26" t="n"/>
    </row>
    <row r="154">
      <c r="A154" s="22" t="n"/>
      <c r="C154" s="26" t="n"/>
    </row>
    <row r="155">
      <c r="A155" s="22" t="n"/>
      <c r="C155" s="26" t="n"/>
    </row>
    <row r="156">
      <c r="A156" s="22" t="n"/>
      <c r="C156" s="26" t="n"/>
    </row>
    <row r="157">
      <c r="A157" s="22" t="n"/>
      <c r="C157" s="26" t="n"/>
    </row>
    <row r="158">
      <c r="A158" s="22" t="n"/>
      <c r="C158" s="26" t="n"/>
    </row>
    <row r="159">
      <c r="A159" s="22" t="n"/>
      <c r="C159" s="26" t="n"/>
    </row>
    <row r="160">
      <c r="A160" s="22" t="n"/>
      <c r="C160" s="26" t="n"/>
    </row>
    <row r="161">
      <c r="A161" s="22" t="n"/>
      <c r="C161" s="26" t="n"/>
    </row>
    <row r="162">
      <c r="A162" s="22" t="n"/>
      <c r="C162" s="26" t="n"/>
    </row>
    <row r="163">
      <c r="A163" s="22" t="n"/>
      <c r="C163" s="26" t="n"/>
    </row>
    <row r="164">
      <c r="A164" s="22" t="n"/>
      <c r="C164" s="26" t="n"/>
    </row>
    <row r="165">
      <c r="A165" s="22" t="n"/>
      <c r="C165" s="26" t="n"/>
    </row>
    <row r="166">
      <c r="A166" s="22" t="n"/>
      <c r="C166" s="26" t="n"/>
    </row>
    <row r="167">
      <c r="A167" s="22" t="n"/>
      <c r="C167" s="26" t="n"/>
    </row>
    <row r="168">
      <c r="A168" s="22" t="n"/>
      <c r="C168" s="26" t="n"/>
    </row>
    <row r="169">
      <c r="A169" s="22" t="n"/>
      <c r="C169" s="26" t="n"/>
    </row>
    <row r="170">
      <c r="A170" s="22" t="n"/>
      <c r="C170" s="26" t="n"/>
    </row>
    <row r="171">
      <c r="A171" s="22" t="n"/>
      <c r="C171" s="26" t="n"/>
    </row>
    <row r="172">
      <c r="A172" s="22" t="n"/>
      <c r="C172" s="26" t="n"/>
    </row>
    <row r="173">
      <c r="A173" s="22" t="n"/>
      <c r="C173" s="26" t="n"/>
    </row>
    <row r="174">
      <c r="A174" s="22" t="n"/>
      <c r="C174" s="26" t="n"/>
    </row>
    <row r="175">
      <c r="A175" s="22" t="n"/>
      <c r="C175" s="26" t="n"/>
    </row>
    <row r="176">
      <c r="A176" s="22" t="n"/>
      <c r="C176" s="26" t="n"/>
    </row>
    <row r="177">
      <c r="A177" s="22" t="n"/>
      <c r="C177" s="26" t="n"/>
    </row>
    <row r="178">
      <c r="A178" s="22" t="n"/>
      <c r="C178" s="26" t="n"/>
    </row>
    <row r="179">
      <c r="A179" s="22" t="n"/>
      <c r="C179" s="26" t="n"/>
    </row>
    <row r="180">
      <c r="A180" s="22" t="n"/>
      <c r="C180" s="26" t="n"/>
    </row>
    <row r="181">
      <c r="A181" s="22" t="n"/>
      <c r="C181" s="26" t="n"/>
    </row>
    <row r="182">
      <c r="A182" s="22" t="n"/>
      <c r="C182" s="26" t="n"/>
    </row>
    <row r="183">
      <c r="A183" s="22" t="n"/>
      <c r="C183" s="26" t="n"/>
    </row>
    <row r="184">
      <c r="A184" s="22" t="n"/>
      <c r="C184" s="26" t="n"/>
    </row>
    <row r="185">
      <c r="A185" s="22" t="n"/>
      <c r="C185" s="26" t="n"/>
    </row>
    <row r="186">
      <c r="A186" s="22" t="n"/>
      <c r="C186" s="26" t="n"/>
    </row>
    <row r="187">
      <c r="A187" s="22" t="n"/>
      <c r="C187" s="26" t="n"/>
    </row>
    <row r="188">
      <c r="A188" s="22" t="n"/>
      <c r="C188" s="26" t="n"/>
    </row>
    <row r="189">
      <c r="A189" s="22" t="n"/>
      <c r="C189" s="26" t="n"/>
    </row>
    <row r="190">
      <c r="A190" s="22" t="n"/>
      <c r="C190" s="26" t="n"/>
    </row>
    <row r="191">
      <c r="A191" s="22" t="n"/>
      <c r="C191" s="26" t="n"/>
    </row>
    <row r="192">
      <c r="A192" s="22" t="n"/>
      <c r="C192" s="26" t="n"/>
    </row>
    <row r="193">
      <c r="A193" s="22" t="n"/>
      <c r="C193" s="26" t="n"/>
    </row>
    <row r="194">
      <c r="A194" s="22" t="n"/>
      <c r="C194" s="26" t="n"/>
    </row>
    <row r="195">
      <c r="A195" s="22" t="n"/>
      <c r="C195" s="26" t="n"/>
    </row>
    <row r="196">
      <c r="A196" s="22" t="n"/>
      <c r="C196" s="26" t="n"/>
    </row>
    <row r="197">
      <c r="A197" s="22" t="n"/>
      <c r="C197" s="26" t="n"/>
    </row>
    <row r="198">
      <c r="A198" s="22" t="n"/>
      <c r="C198" s="26" t="n"/>
    </row>
    <row r="199">
      <c r="A199" s="22" t="n"/>
      <c r="C199" s="26" t="n"/>
    </row>
  </sheetData>
  <dataValidations count="3">
    <dataValidation sqref="D2:D1000" showDropDown="0" showInputMessage="0" showErrorMessage="0" allowBlank="1" errorTitle="Not in list" error="Pick a value from the list" type="list">
      <formula1>"Per animal,Per unit,Flat"</formula1>
    </dataValidation>
    <dataValidation sqref="E2:E1000" showDropDown="0" showInputMessage="0" showErrorMessage="0" allowBlank="1" errorTitle="Not in list" error="Pick a value from the list" type="list">
      <formula1>"Y,N"</formula1>
    </dataValidation>
    <dataValidation sqref="F2:F1000" showDropDown="0" showInputMessage="0" showErrorMessage="0" allowBlank="1" errorTitle="Not in list" error="Pick a value from the list" type="list">
      <formula1>"Y,N"</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199"/>
  <sheetViews>
    <sheetView zoomScale="110"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24" customWidth="1" min="2" max="2"/>
    <col width="30" customWidth="1" min="3" max="3"/>
    <col width="19.5" customWidth="1" min="4" max="4"/>
    <col width="26" customWidth="1" min="5" max="5"/>
    <col width="17.3" customWidth="1" min="6" max="6"/>
    <col width="14" customWidth="1" min="7" max="7"/>
    <col width="17.3" customWidth="1" min="8" max="8"/>
    <col width="14" customWidth="1" min="9" max="9"/>
    <col width="12" customWidth="1" min="10" max="10"/>
    <col width="9.600000000000001" customWidth="1" min="11" max="11"/>
    <col width="50" customWidth="1" min="12" max="12"/>
  </cols>
  <sheetData>
    <row r="1" ht="24" customHeight="1">
      <c r="A1" s="16" t="inlineStr">
        <is>
          <t>Program_ID</t>
        </is>
      </c>
      <c r="B1" s="16" t="inlineStr">
        <is>
          <t>Program_Name</t>
        </is>
      </c>
      <c r="C1" s="16" t="inlineStr">
        <is>
          <t>Partner_Organization</t>
        </is>
      </c>
      <c r="D1" s="16" t="inlineStr">
        <is>
          <t>Partner_Contact</t>
        </is>
      </c>
      <c r="E1" s="16" t="inlineStr">
        <is>
          <t>Partner_Email</t>
        </is>
      </c>
      <c r="F1" s="16" t="inlineStr">
        <is>
          <t>Partial_Share</t>
        </is>
      </c>
      <c r="G1" s="16" t="inlineStr">
        <is>
          <t>Full_Share</t>
        </is>
      </c>
      <c r="H1" s="16" t="inlineStr">
        <is>
          <t>Requires_NSIP</t>
        </is>
      </c>
      <c r="I1" s="16" t="inlineStr">
        <is>
          <t>Start_Date</t>
        </is>
      </c>
      <c r="J1" s="16" t="inlineStr">
        <is>
          <t>End_Date</t>
        </is>
      </c>
      <c r="K1" s="16" t="inlineStr">
        <is>
          <t>Active</t>
        </is>
      </c>
      <c r="L1" s="16" t="inlineStr">
        <is>
          <t>Notes</t>
        </is>
      </c>
    </row>
    <row r="2">
      <c r="A2" s="20" t="inlineStr">
        <is>
          <t>CS01</t>
        </is>
      </c>
      <c r="B2" s="17" t="inlineStr">
        <is>
          <t>ASI Fine Wool genotyping</t>
        </is>
      </c>
      <c r="C2" s="17" t="inlineStr">
        <is>
          <t>American Sheep Industry Association (ASI)</t>
        </is>
      </c>
      <c r="D2" s="17" t="inlineStr">
        <is>
          <t>Erika Sanko</t>
        </is>
      </c>
      <c r="E2" s="17" t="inlineStr">
        <is>
          <t>esanko@sheepusa.org</t>
        </is>
      </c>
      <c r="F2" s="25" t="n">
        <v>6</v>
      </c>
      <c r="G2" s="25" t="n">
        <v>18</v>
      </c>
      <c r="H2" s="17" t="inlineStr">
        <is>
          <t>Y</t>
        </is>
      </c>
      <c r="I2" s="21" t="n">
        <v>46266</v>
      </c>
      <c r="J2" s="21" t="n">
        <v>46752</v>
      </c>
      <c r="K2" s="17" t="inlineStr">
        <is>
          <t>Y</t>
        </is>
      </c>
      <c r="L2" s="17" t="inlineStr">
        <is>
          <t>NSIP animals only. Default: proven (2+) covered in full, under 2 partly ($6). Override per animal on Animals.</t>
        </is>
      </c>
    </row>
    <row r="3">
      <c r="A3" s="20" t="inlineStr">
        <is>
          <t>GR01</t>
        </is>
      </c>
      <c r="B3" s="17" t="inlineStr">
        <is>
          <t>[Grant or research program]</t>
        </is>
      </c>
      <c r="C3" s="17" t="inlineStr">
        <is>
          <t>[Funder]</t>
        </is>
      </c>
      <c r="D3" s="17" t="inlineStr"/>
      <c r="E3" s="17" t="inlineStr"/>
      <c r="F3" s="25" t="n">
        <v>6</v>
      </c>
      <c r="G3" s="25" t="n">
        <v>18</v>
      </c>
      <c r="H3" s="17" t="inlineStr">
        <is>
          <t>N</t>
        </is>
      </c>
      <c r="I3" s="21" t="n"/>
      <c r="J3" s="21" t="n"/>
      <c r="K3" s="17" t="inlineStr">
        <is>
          <t>Y</t>
        </is>
      </c>
      <c r="L3" s="17" t="inlineStr">
        <is>
          <t>Case by case only: pick it per animal in Animals &gt; CS_Override_Program, with a level. Tracks what the grant covers.</t>
        </is>
      </c>
    </row>
    <row r="4">
      <c r="A4" s="22" t="n"/>
      <c r="F4" s="26" t="n"/>
      <c r="G4" s="26" t="n"/>
      <c r="I4" s="23" t="n"/>
      <c r="J4" s="23" t="n"/>
    </row>
    <row r="5">
      <c r="A5" s="22" t="n"/>
      <c r="F5" s="26" t="n"/>
      <c r="G5" s="26" t="n"/>
      <c r="I5" s="23" t="n"/>
      <c r="J5" s="23" t="n"/>
    </row>
    <row r="6">
      <c r="A6" s="22" t="n"/>
      <c r="F6" s="26" t="n"/>
      <c r="G6" s="26" t="n"/>
      <c r="I6" s="23" t="n"/>
      <c r="J6" s="23" t="n"/>
    </row>
    <row r="7">
      <c r="A7" s="22" t="n"/>
      <c r="F7" s="26" t="n"/>
      <c r="G7" s="26" t="n"/>
      <c r="I7" s="23" t="n"/>
      <c r="J7" s="23" t="n"/>
    </row>
    <row r="8">
      <c r="A8" s="22" t="n"/>
      <c r="F8" s="26" t="n"/>
      <c r="G8" s="26" t="n"/>
      <c r="I8" s="23" t="n"/>
      <c r="J8" s="23" t="n"/>
    </row>
    <row r="9">
      <c r="A9" s="22" t="n"/>
      <c r="F9" s="26" t="n"/>
      <c r="G9" s="26" t="n"/>
      <c r="I9" s="23" t="n"/>
      <c r="J9" s="23" t="n"/>
    </row>
    <row r="10">
      <c r="A10" s="22" t="n"/>
      <c r="F10" s="26" t="n"/>
      <c r="G10" s="26" t="n"/>
      <c r="I10" s="23" t="n"/>
      <c r="J10" s="23" t="n"/>
    </row>
    <row r="11">
      <c r="A11" s="22" t="n"/>
      <c r="F11" s="26" t="n"/>
      <c r="G11" s="26" t="n"/>
      <c r="I11" s="23" t="n"/>
      <c r="J11" s="23" t="n"/>
    </row>
    <row r="12">
      <c r="A12" s="22" t="n"/>
      <c r="F12" s="26" t="n"/>
      <c r="G12" s="26" t="n"/>
      <c r="I12" s="23" t="n"/>
      <c r="J12" s="23" t="n"/>
    </row>
    <row r="13">
      <c r="A13" s="22" t="n"/>
      <c r="F13" s="26" t="n"/>
      <c r="G13" s="26" t="n"/>
      <c r="I13" s="23" t="n"/>
      <c r="J13" s="23" t="n"/>
    </row>
    <row r="14">
      <c r="A14" s="22" t="n"/>
      <c r="F14" s="26" t="n"/>
      <c r="G14" s="26" t="n"/>
      <c r="I14" s="23" t="n"/>
      <c r="J14" s="23" t="n"/>
    </row>
    <row r="15">
      <c r="A15" s="22" t="n"/>
      <c r="F15" s="26" t="n"/>
      <c r="G15" s="26" t="n"/>
      <c r="I15" s="23" t="n"/>
      <c r="J15" s="23" t="n"/>
    </row>
    <row r="16">
      <c r="A16" s="22" t="n"/>
      <c r="F16" s="26" t="n"/>
      <c r="G16" s="26" t="n"/>
      <c r="I16" s="23" t="n"/>
      <c r="J16" s="23" t="n"/>
    </row>
    <row r="17">
      <c r="A17" s="22" t="n"/>
      <c r="F17" s="26" t="n"/>
      <c r="G17" s="26" t="n"/>
      <c r="I17" s="23" t="n"/>
      <c r="J17" s="23" t="n"/>
    </row>
    <row r="18">
      <c r="A18" s="22" t="n"/>
      <c r="F18" s="26" t="n"/>
      <c r="G18" s="26" t="n"/>
      <c r="I18" s="23" t="n"/>
      <c r="J18" s="23" t="n"/>
    </row>
    <row r="19">
      <c r="A19" s="22" t="n"/>
      <c r="F19" s="26" t="n"/>
      <c r="G19" s="26" t="n"/>
      <c r="I19" s="23" t="n"/>
      <c r="J19" s="23" t="n"/>
    </row>
    <row r="20">
      <c r="A20" s="22" t="n"/>
      <c r="F20" s="26" t="n"/>
      <c r="G20" s="26" t="n"/>
      <c r="I20" s="23" t="n"/>
      <c r="J20" s="23" t="n"/>
    </row>
    <row r="21">
      <c r="A21" s="22" t="n"/>
      <c r="F21" s="26" t="n"/>
      <c r="G21" s="26" t="n"/>
      <c r="I21" s="23" t="n"/>
      <c r="J21" s="23" t="n"/>
    </row>
    <row r="22">
      <c r="A22" s="22" t="n"/>
      <c r="F22" s="26" t="n"/>
      <c r="G22" s="26" t="n"/>
      <c r="I22" s="23" t="n"/>
      <c r="J22" s="23" t="n"/>
    </row>
    <row r="23">
      <c r="A23" s="22" t="n"/>
      <c r="F23" s="26" t="n"/>
      <c r="G23" s="26" t="n"/>
      <c r="I23" s="23" t="n"/>
      <c r="J23" s="23" t="n"/>
    </row>
    <row r="24">
      <c r="A24" s="22" t="n"/>
      <c r="F24" s="26" t="n"/>
      <c r="G24" s="26" t="n"/>
      <c r="I24" s="23" t="n"/>
      <c r="J24" s="23" t="n"/>
    </row>
    <row r="25">
      <c r="A25" s="22" t="n"/>
      <c r="F25" s="26" t="n"/>
      <c r="G25" s="26" t="n"/>
      <c r="I25" s="23" t="n"/>
      <c r="J25" s="23" t="n"/>
    </row>
    <row r="26">
      <c r="A26" s="22" t="n"/>
      <c r="F26" s="26" t="n"/>
      <c r="G26" s="26" t="n"/>
      <c r="I26" s="23" t="n"/>
      <c r="J26" s="23" t="n"/>
    </row>
    <row r="27">
      <c r="A27" s="22" t="n"/>
      <c r="F27" s="26" t="n"/>
      <c r="G27" s="26" t="n"/>
      <c r="I27" s="23" t="n"/>
      <c r="J27" s="23" t="n"/>
    </row>
    <row r="28">
      <c r="A28" s="22" t="n"/>
      <c r="F28" s="26" t="n"/>
      <c r="G28" s="26" t="n"/>
      <c r="I28" s="23" t="n"/>
      <c r="J28" s="23" t="n"/>
    </row>
    <row r="29">
      <c r="A29" s="22" t="n"/>
      <c r="F29" s="26" t="n"/>
      <c r="G29" s="26" t="n"/>
      <c r="I29" s="23" t="n"/>
      <c r="J29" s="23" t="n"/>
    </row>
    <row r="30">
      <c r="A30" s="22" t="n"/>
      <c r="F30" s="26" t="n"/>
      <c r="G30" s="26" t="n"/>
      <c r="I30" s="23" t="n"/>
      <c r="J30" s="23" t="n"/>
    </row>
    <row r="31">
      <c r="A31" s="22" t="n"/>
      <c r="F31" s="26" t="n"/>
      <c r="G31" s="26" t="n"/>
      <c r="I31" s="23" t="n"/>
      <c r="J31" s="23" t="n"/>
    </row>
    <row r="32">
      <c r="A32" s="22" t="n"/>
      <c r="F32" s="26" t="n"/>
      <c r="G32" s="26" t="n"/>
      <c r="I32" s="23" t="n"/>
      <c r="J32" s="23" t="n"/>
    </row>
    <row r="33">
      <c r="A33" s="22" t="n"/>
      <c r="F33" s="26" t="n"/>
      <c r="G33" s="26" t="n"/>
      <c r="I33" s="23" t="n"/>
      <c r="J33" s="23" t="n"/>
    </row>
    <row r="34">
      <c r="A34" s="22" t="n"/>
      <c r="F34" s="26" t="n"/>
      <c r="G34" s="26" t="n"/>
      <c r="I34" s="23" t="n"/>
      <c r="J34" s="23" t="n"/>
    </row>
    <row r="35">
      <c r="A35" s="22" t="n"/>
      <c r="F35" s="26" t="n"/>
      <c r="G35" s="26" t="n"/>
      <c r="I35" s="23" t="n"/>
      <c r="J35" s="23" t="n"/>
    </row>
    <row r="36">
      <c r="A36" s="22" t="n"/>
      <c r="F36" s="26" t="n"/>
      <c r="G36" s="26" t="n"/>
      <c r="I36" s="23" t="n"/>
      <c r="J36" s="23" t="n"/>
    </row>
    <row r="37">
      <c r="A37" s="22" t="n"/>
      <c r="F37" s="26" t="n"/>
      <c r="G37" s="26" t="n"/>
      <c r="I37" s="23" t="n"/>
      <c r="J37" s="23" t="n"/>
    </row>
    <row r="38">
      <c r="A38" s="22" t="n"/>
      <c r="F38" s="26" t="n"/>
      <c r="G38" s="26" t="n"/>
      <c r="I38" s="23" t="n"/>
      <c r="J38" s="23" t="n"/>
    </row>
    <row r="39">
      <c r="A39" s="22" t="n"/>
      <c r="F39" s="26" t="n"/>
      <c r="G39" s="26" t="n"/>
      <c r="I39" s="23" t="n"/>
      <c r="J39" s="23" t="n"/>
    </row>
    <row r="40">
      <c r="A40" s="22" t="n"/>
      <c r="F40" s="26" t="n"/>
      <c r="G40" s="26" t="n"/>
      <c r="I40" s="23" t="n"/>
      <c r="J40" s="23" t="n"/>
    </row>
    <row r="41">
      <c r="A41" s="22" t="n"/>
      <c r="F41" s="26" t="n"/>
      <c r="G41" s="26" t="n"/>
      <c r="I41" s="23" t="n"/>
      <c r="J41" s="23" t="n"/>
    </row>
    <row r="42">
      <c r="A42" s="22" t="n"/>
      <c r="F42" s="26" t="n"/>
      <c r="G42" s="26" t="n"/>
      <c r="I42" s="23" t="n"/>
      <c r="J42" s="23" t="n"/>
    </row>
    <row r="43">
      <c r="A43" s="22" t="n"/>
      <c r="F43" s="26" t="n"/>
      <c r="G43" s="26" t="n"/>
      <c r="I43" s="23" t="n"/>
      <c r="J43" s="23" t="n"/>
    </row>
    <row r="44">
      <c r="A44" s="22" t="n"/>
      <c r="F44" s="26" t="n"/>
      <c r="G44" s="26" t="n"/>
      <c r="I44" s="23" t="n"/>
      <c r="J44" s="23" t="n"/>
    </row>
    <row r="45">
      <c r="A45" s="22" t="n"/>
      <c r="F45" s="26" t="n"/>
      <c r="G45" s="26" t="n"/>
      <c r="I45" s="23" t="n"/>
      <c r="J45" s="23" t="n"/>
    </row>
    <row r="46">
      <c r="A46" s="22" t="n"/>
      <c r="F46" s="26" t="n"/>
      <c r="G46" s="26" t="n"/>
      <c r="I46" s="23" t="n"/>
      <c r="J46" s="23" t="n"/>
    </row>
    <row r="47">
      <c r="A47" s="22" t="n"/>
      <c r="F47" s="26" t="n"/>
      <c r="G47" s="26" t="n"/>
      <c r="I47" s="23" t="n"/>
      <c r="J47" s="23" t="n"/>
    </row>
    <row r="48">
      <c r="A48" s="22" t="n"/>
      <c r="F48" s="26" t="n"/>
      <c r="G48" s="26" t="n"/>
      <c r="I48" s="23" t="n"/>
      <c r="J48" s="23" t="n"/>
    </row>
    <row r="49">
      <c r="A49" s="22" t="n"/>
      <c r="F49" s="26" t="n"/>
      <c r="G49" s="26" t="n"/>
      <c r="I49" s="23" t="n"/>
      <c r="J49" s="23" t="n"/>
    </row>
    <row r="50">
      <c r="A50" s="22" t="n"/>
      <c r="F50" s="26" t="n"/>
      <c r="G50" s="26" t="n"/>
      <c r="I50" s="23" t="n"/>
      <c r="J50" s="23" t="n"/>
    </row>
    <row r="51">
      <c r="A51" s="22" t="n"/>
      <c r="F51" s="26" t="n"/>
      <c r="G51" s="26" t="n"/>
      <c r="I51" s="23" t="n"/>
      <c r="J51" s="23" t="n"/>
    </row>
    <row r="52">
      <c r="A52" s="22" t="n"/>
      <c r="F52" s="26" t="n"/>
      <c r="G52" s="26" t="n"/>
      <c r="I52" s="23" t="n"/>
      <c r="J52" s="23" t="n"/>
    </row>
    <row r="53">
      <c r="A53" s="22" t="n"/>
      <c r="F53" s="26" t="n"/>
      <c r="G53" s="26" t="n"/>
      <c r="I53" s="23" t="n"/>
      <c r="J53" s="23" t="n"/>
    </row>
    <row r="54">
      <c r="A54" s="22" t="n"/>
      <c r="F54" s="26" t="n"/>
      <c r="G54" s="26" t="n"/>
      <c r="I54" s="23" t="n"/>
      <c r="J54" s="23" t="n"/>
    </row>
    <row r="55">
      <c r="A55" s="22" t="n"/>
      <c r="F55" s="26" t="n"/>
      <c r="G55" s="26" t="n"/>
      <c r="I55" s="23" t="n"/>
      <c r="J55" s="23" t="n"/>
    </row>
    <row r="56">
      <c r="A56" s="22" t="n"/>
      <c r="F56" s="26" t="n"/>
      <c r="G56" s="26" t="n"/>
      <c r="I56" s="23" t="n"/>
      <c r="J56" s="23" t="n"/>
    </row>
    <row r="57">
      <c r="A57" s="22" t="n"/>
      <c r="F57" s="26" t="n"/>
      <c r="G57" s="26" t="n"/>
      <c r="I57" s="23" t="n"/>
      <c r="J57" s="23" t="n"/>
    </row>
    <row r="58">
      <c r="A58" s="22" t="n"/>
      <c r="F58" s="26" t="n"/>
      <c r="G58" s="26" t="n"/>
      <c r="I58" s="23" t="n"/>
      <c r="J58" s="23" t="n"/>
    </row>
    <row r="59">
      <c r="A59" s="22" t="n"/>
      <c r="F59" s="26" t="n"/>
      <c r="G59" s="26" t="n"/>
      <c r="I59" s="23" t="n"/>
      <c r="J59" s="23" t="n"/>
    </row>
    <row r="60">
      <c r="A60" s="22" t="n"/>
      <c r="F60" s="26" t="n"/>
      <c r="G60" s="26" t="n"/>
      <c r="I60" s="23" t="n"/>
      <c r="J60" s="23" t="n"/>
    </row>
    <row r="61">
      <c r="A61" s="22" t="n"/>
      <c r="F61" s="26" t="n"/>
      <c r="G61" s="26" t="n"/>
      <c r="I61" s="23" t="n"/>
      <c r="J61" s="23" t="n"/>
    </row>
    <row r="62">
      <c r="A62" s="22" t="n"/>
      <c r="F62" s="26" t="n"/>
      <c r="G62" s="26" t="n"/>
      <c r="I62" s="23" t="n"/>
      <c r="J62" s="23" t="n"/>
    </row>
    <row r="63">
      <c r="A63" s="22" t="n"/>
      <c r="F63" s="26" t="n"/>
      <c r="G63" s="26" t="n"/>
      <c r="I63" s="23" t="n"/>
      <c r="J63" s="23" t="n"/>
    </row>
    <row r="64">
      <c r="A64" s="22" t="n"/>
      <c r="F64" s="26" t="n"/>
      <c r="G64" s="26" t="n"/>
      <c r="I64" s="23" t="n"/>
      <c r="J64" s="23" t="n"/>
    </row>
    <row r="65">
      <c r="A65" s="22" t="n"/>
      <c r="F65" s="26" t="n"/>
      <c r="G65" s="26" t="n"/>
      <c r="I65" s="23" t="n"/>
      <c r="J65" s="23" t="n"/>
    </row>
    <row r="66">
      <c r="A66" s="22" t="n"/>
      <c r="F66" s="26" t="n"/>
      <c r="G66" s="26" t="n"/>
      <c r="I66" s="23" t="n"/>
      <c r="J66" s="23" t="n"/>
    </row>
    <row r="67">
      <c r="A67" s="22" t="n"/>
      <c r="F67" s="26" t="n"/>
      <c r="G67" s="26" t="n"/>
      <c r="I67" s="23" t="n"/>
      <c r="J67" s="23" t="n"/>
    </row>
    <row r="68">
      <c r="A68" s="22" t="n"/>
      <c r="F68" s="26" t="n"/>
      <c r="G68" s="26" t="n"/>
      <c r="I68" s="23" t="n"/>
      <c r="J68" s="23" t="n"/>
    </row>
    <row r="69">
      <c r="A69" s="22" t="n"/>
      <c r="F69" s="26" t="n"/>
      <c r="G69" s="26" t="n"/>
      <c r="I69" s="23" t="n"/>
      <c r="J69" s="23" t="n"/>
    </row>
    <row r="70">
      <c r="A70" s="22" t="n"/>
      <c r="F70" s="26" t="n"/>
      <c r="G70" s="26" t="n"/>
      <c r="I70" s="23" t="n"/>
      <c r="J70" s="23" t="n"/>
    </row>
    <row r="71">
      <c r="A71" s="22" t="n"/>
      <c r="F71" s="26" t="n"/>
      <c r="G71" s="26" t="n"/>
      <c r="I71" s="23" t="n"/>
      <c r="J71" s="23" t="n"/>
    </row>
    <row r="72">
      <c r="A72" s="22" t="n"/>
      <c r="F72" s="26" t="n"/>
      <c r="G72" s="26" t="n"/>
      <c r="I72" s="23" t="n"/>
      <c r="J72" s="23" t="n"/>
    </row>
    <row r="73">
      <c r="A73" s="22" t="n"/>
      <c r="F73" s="26" t="n"/>
      <c r="G73" s="26" t="n"/>
      <c r="I73" s="23" t="n"/>
      <c r="J73" s="23" t="n"/>
    </row>
    <row r="74">
      <c r="A74" s="22" t="n"/>
      <c r="F74" s="26" t="n"/>
      <c r="G74" s="26" t="n"/>
      <c r="I74" s="23" t="n"/>
      <c r="J74" s="23" t="n"/>
    </row>
    <row r="75">
      <c r="A75" s="22" t="n"/>
      <c r="F75" s="26" t="n"/>
      <c r="G75" s="26" t="n"/>
      <c r="I75" s="23" t="n"/>
      <c r="J75" s="23" t="n"/>
    </row>
    <row r="76">
      <c r="A76" s="22" t="n"/>
      <c r="F76" s="26" t="n"/>
      <c r="G76" s="26" t="n"/>
      <c r="I76" s="23" t="n"/>
      <c r="J76" s="23" t="n"/>
    </row>
    <row r="77">
      <c r="A77" s="22" t="n"/>
      <c r="F77" s="26" t="n"/>
      <c r="G77" s="26" t="n"/>
      <c r="I77" s="23" t="n"/>
      <c r="J77" s="23" t="n"/>
    </row>
    <row r="78">
      <c r="A78" s="22" t="n"/>
      <c r="F78" s="26" t="n"/>
      <c r="G78" s="26" t="n"/>
      <c r="I78" s="23" t="n"/>
      <c r="J78" s="23" t="n"/>
    </row>
    <row r="79">
      <c r="A79" s="22" t="n"/>
      <c r="F79" s="26" t="n"/>
      <c r="G79" s="26" t="n"/>
      <c r="I79" s="23" t="n"/>
      <c r="J79" s="23" t="n"/>
    </row>
    <row r="80">
      <c r="A80" s="22" t="n"/>
      <c r="F80" s="26" t="n"/>
      <c r="G80" s="26" t="n"/>
      <c r="I80" s="23" t="n"/>
      <c r="J80" s="23" t="n"/>
    </row>
    <row r="81">
      <c r="A81" s="22" t="n"/>
      <c r="F81" s="26" t="n"/>
      <c r="G81" s="26" t="n"/>
      <c r="I81" s="23" t="n"/>
      <c r="J81" s="23" t="n"/>
    </row>
    <row r="82">
      <c r="A82" s="22" t="n"/>
      <c r="F82" s="26" t="n"/>
      <c r="G82" s="26" t="n"/>
      <c r="I82" s="23" t="n"/>
      <c r="J82" s="23" t="n"/>
    </row>
    <row r="83">
      <c r="A83" s="22" t="n"/>
      <c r="F83" s="26" t="n"/>
      <c r="G83" s="26" t="n"/>
      <c r="I83" s="23" t="n"/>
      <c r="J83" s="23" t="n"/>
    </row>
    <row r="84">
      <c r="A84" s="22" t="n"/>
      <c r="F84" s="26" t="n"/>
      <c r="G84" s="26" t="n"/>
      <c r="I84" s="23" t="n"/>
      <c r="J84" s="23" t="n"/>
    </row>
    <row r="85">
      <c r="A85" s="22" t="n"/>
      <c r="F85" s="26" t="n"/>
      <c r="G85" s="26" t="n"/>
      <c r="I85" s="23" t="n"/>
      <c r="J85" s="23" t="n"/>
    </row>
    <row r="86">
      <c r="A86" s="22" t="n"/>
      <c r="F86" s="26" t="n"/>
      <c r="G86" s="26" t="n"/>
      <c r="I86" s="23" t="n"/>
      <c r="J86" s="23" t="n"/>
    </row>
    <row r="87">
      <c r="A87" s="22" t="n"/>
      <c r="F87" s="26" t="n"/>
      <c r="G87" s="26" t="n"/>
      <c r="I87" s="23" t="n"/>
      <c r="J87" s="23" t="n"/>
    </row>
    <row r="88">
      <c r="A88" s="22" t="n"/>
      <c r="F88" s="26" t="n"/>
      <c r="G88" s="26" t="n"/>
      <c r="I88" s="23" t="n"/>
      <c r="J88" s="23" t="n"/>
    </row>
    <row r="89">
      <c r="A89" s="22" t="n"/>
      <c r="F89" s="26" t="n"/>
      <c r="G89" s="26" t="n"/>
      <c r="I89" s="23" t="n"/>
      <c r="J89" s="23" t="n"/>
    </row>
    <row r="90">
      <c r="A90" s="22" t="n"/>
      <c r="F90" s="26" t="n"/>
      <c r="G90" s="26" t="n"/>
      <c r="I90" s="23" t="n"/>
      <c r="J90" s="23" t="n"/>
    </row>
    <row r="91">
      <c r="A91" s="22" t="n"/>
      <c r="F91" s="26" t="n"/>
      <c r="G91" s="26" t="n"/>
      <c r="I91" s="23" t="n"/>
      <c r="J91" s="23" t="n"/>
    </row>
    <row r="92">
      <c r="A92" s="22" t="n"/>
      <c r="F92" s="26" t="n"/>
      <c r="G92" s="26" t="n"/>
      <c r="I92" s="23" t="n"/>
      <c r="J92" s="23" t="n"/>
    </row>
    <row r="93">
      <c r="A93" s="22" t="n"/>
      <c r="F93" s="26" t="n"/>
      <c r="G93" s="26" t="n"/>
      <c r="I93" s="23" t="n"/>
      <c r="J93" s="23" t="n"/>
    </row>
    <row r="94">
      <c r="A94" s="22" t="n"/>
      <c r="F94" s="26" t="n"/>
      <c r="G94" s="26" t="n"/>
      <c r="I94" s="23" t="n"/>
      <c r="J94" s="23" t="n"/>
    </row>
    <row r="95">
      <c r="A95" s="22" t="n"/>
      <c r="F95" s="26" t="n"/>
      <c r="G95" s="26" t="n"/>
      <c r="I95" s="23" t="n"/>
      <c r="J95" s="23" t="n"/>
    </row>
    <row r="96">
      <c r="A96" s="22" t="n"/>
      <c r="F96" s="26" t="n"/>
      <c r="G96" s="26" t="n"/>
      <c r="I96" s="23" t="n"/>
      <c r="J96" s="23" t="n"/>
    </row>
    <row r="97">
      <c r="A97" s="22" t="n"/>
      <c r="F97" s="26" t="n"/>
      <c r="G97" s="26" t="n"/>
      <c r="I97" s="23" t="n"/>
      <c r="J97" s="23" t="n"/>
    </row>
    <row r="98">
      <c r="A98" s="22" t="n"/>
      <c r="F98" s="26" t="n"/>
      <c r="G98" s="26" t="n"/>
      <c r="I98" s="23" t="n"/>
      <c r="J98" s="23" t="n"/>
    </row>
    <row r="99">
      <c r="A99" s="22" t="n"/>
      <c r="F99" s="26" t="n"/>
      <c r="G99" s="26" t="n"/>
      <c r="I99" s="23" t="n"/>
      <c r="J99" s="23" t="n"/>
    </row>
    <row r="100">
      <c r="A100" s="22" t="n"/>
      <c r="F100" s="26" t="n"/>
      <c r="G100" s="26" t="n"/>
      <c r="I100" s="23" t="n"/>
      <c r="J100" s="23" t="n"/>
    </row>
    <row r="101">
      <c r="A101" s="22" t="n"/>
      <c r="F101" s="26" t="n"/>
      <c r="G101" s="26" t="n"/>
      <c r="I101" s="23" t="n"/>
      <c r="J101" s="23" t="n"/>
    </row>
    <row r="102">
      <c r="A102" s="22" t="n"/>
      <c r="F102" s="26" t="n"/>
      <c r="G102" s="26" t="n"/>
      <c r="I102" s="23" t="n"/>
      <c r="J102" s="23" t="n"/>
    </row>
    <row r="103">
      <c r="A103" s="22" t="n"/>
      <c r="F103" s="26" t="n"/>
      <c r="G103" s="26" t="n"/>
      <c r="I103" s="23" t="n"/>
      <c r="J103" s="23" t="n"/>
    </row>
    <row r="104">
      <c r="A104" s="22" t="n"/>
      <c r="F104" s="26" t="n"/>
      <c r="G104" s="26" t="n"/>
      <c r="I104" s="23" t="n"/>
      <c r="J104" s="23" t="n"/>
    </row>
    <row r="105">
      <c r="A105" s="22" t="n"/>
      <c r="F105" s="26" t="n"/>
      <c r="G105" s="26" t="n"/>
      <c r="I105" s="23" t="n"/>
      <c r="J105" s="23" t="n"/>
    </row>
    <row r="106">
      <c r="A106" s="22" t="n"/>
      <c r="F106" s="26" t="n"/>
      <c r="G106" s="26" t="n"/>
      <c r="I106" s="23" t="n"/>
      <c r="J106" s="23" t="n"/>
    </row>
    <row r="107">
      <c r="A107" s="22" t="n"/>
      <c r="F107" s="26" t="n"/>
      <c r="G107" s="26" t="n"/>
      <c r="I107" s="23" t="n"/>
      <c r="J107" s="23" t="n"/>
    </row>
    <row r="108">
      <c r="A108" s="22" t="n"/>
      <c r="F108" s="26" t="n"/>
      <c r="G108" s="26" t="n"/>
      <c r="I108" s="23" t="n"/>
      <c r="J108" s="23" t="n"/>
    </row>
    <row r="109">
      <c r="A109" s="22" t="n"/>
      <c r="F109" s="26" t="n"/>
      <c r="G109" s="26" t="n"/>
      <c r="I109" s="23" t="n"/>
      <c r="J109" s="23" t="n"/>
    </row>
    <row r="110">
      <c r="A110" s="22" t="n"/>
      <c r="F110" s="26" t="n"/>
      <c r="G110" s="26" t="n"/>
      <c r="I110" s="23" t="n"/>
      <c r="J110" s="23" t="n"/>
    </row>
    <row r="111">
      <c r="A111" s="22" t="n"/>
      <c r="F111" s="26" t="n"/>
      <c r="G111" s="26" t="n"/>
      <c r="I111" s="23" t="n"/>
      <c r="J111" s="23" t="n"/>
    </row>
    <row r="112">
      <c r="A112" s="22" t="n"/>
      <c r="F112" s="26" t="n"/>
      <c r="G112" s="26" t="n"/>
      <c r="I112" s="23" t="n"/>
      <c r="J112" s="23" t="n"/>
    </row>
    <row r="113">
      <c r="A113" s="22" t="n"/>
      <c r="F113" s="26" t="n"/>
      <c r="G113" s="26" t="n"/>
      <c r="I113" s="23" t="n"/>
      <c r="J113" s="23" t="n"/>
    </row>
    <row r="114">
      <c r="A114" s="22" t="n"/>
      <c r="F114" s="26" t="n"/>
      <c r="G114" s="26" t="n"/>
      <c r="I114" s="23" t="n"/>
      <c r="J114" s="23" t="n"/>
    </row>
    <row r="115">
      <c r="A115" s="22" t="n"/>
      <c r="F115" s="26" t="n"/>
      <c r="G115" s="26" t="n"/>
      <c r="I115" s="23" t="n"/>
      <c r="J115" s="23" t="n"/>
    </row>
    <row r="116">
      <c r="A116" s="22" t="n"/>
      <c r="F116" s="26" t="n"/>
      <c r="G116" s="26" t="n"/>
      <c r="I116" s="23" t="n"/>
      <c r="J116" s="23" t="n"/>
    </row>
    <row r="117">
      <c r="A117" s="22" t="n"/>
      <c r="F117" s="26" t="n"/>
      <c r="G117" s="26" t="n"/>
      <c r="I117" s="23" t="n"/>
      <c r="J117" s="23" t="n"/>
    </row>
    <row r="118">
      <c r="A118" s="22" t="n"/>
      <c r="F118" s="26" t="n"/>
      <c r="G118" s="26" t="n"/>
      <c r="I118" s="23" t="n"/>
      <c r="J118" s="23" t="n"/>
    </row>
    <row r="119">
      <c r="A119" s="22" t="n"/>
      <c r="F119" s="26" t="n"/>
      <c r="G119" s="26" t="n"/>
      <c r="I119" s="23" t="n"/>
      <c r="J119" s="23" t="n"/>
    </row>
    <row r="120">
      <c r="A120" s="22" t="n"/>
      <c r="F120" s="26" t="n"/>
      <c r="G120" s="26" t="n"/>
      <c r="I120" s="23" t="n"/>
      <c r="J120" s="23" t="n"/>
    </row>
    <row r="121">
      <c r="A121" s="22" t="n"/>
      <c r="F121" s="26" t="n"/>
      <c r="G121" s="26" t="n"/>
      <c r="I121" s="23" t="n"/>
      <c r="J121" s="23" t="n"/>
    </row>
    <row r="122">
      <c r="A122" s="22" t="n"/>
      <c r="F122" s="26" t="n"/>
      <c r="G122" s="26" t="n"/>
      <c r="I122" s="23" t="n"/>
      <c r="J122" s="23" t="n"/>
    </row>
    <row r="123">
      <c r="A123" s="22" t="n"/>
      <c r="F123" s="26" t="n"/>
      <c r="G123" s="26" t="n"/>
      <c r="I123" s="23" t="n"/>
      <c r="J123" s="23" t="n"/>
    </row>
    <row r="124">
      <c r="A124" s="22" t="n"/>
      <c r="F124" s="26" t="n"/>
      <c r="G124" s="26" t="n"/>
      <c r="I124" s="23" t="n"/>
      <c r="J124" s="23" t="n"/>
    </row>
    <row r="125">
      <c r="A125" s="22" t="n"/>
      <c r="F125" s="26" t="n"/>
      <c r="G125" s="26" t="n"/>
      <c r="I125" s="23" t="n"/>
      <c r="J125" s="23" t="n"/>
    </row>
    <row r="126">
      <c r="A126" s="22" t="n"/>
      <c r="F126" s="26" t="n"/>
      <c r="G126" s="26" t="n"/>
      <c r="I126" s="23" t="n"/>
      <c r="J126" s="23" t="n"/>
    </row>
    <row r="127">
      <c r="A127" s="22" t="n"/>
      <c r="F127" s="26" t="n"/>
      <c r="G127" s="26" t="n"/>
      <c r="I127" s="23" t="n"/>
      <c r="J127" s="23" t="n"/>
    </row>
    <row r="128">
      <c r="A128" s="22" t="n"/>
      <c r="F128" s="26" t="n"/>
      <c r="G128" s="26" t="n"/>
      <c r="I128" s="23" t="n"/>
      <c r="J128" s="23" t="n"/>
    </row>
    <row r="129">
      <c r="A129" s="22" t="n"/>
      <c r="F129" s="26" t="n"/>
      <c r="G129" s="26" t="n"/>
      <c r="I129" s="23" t="n"/>
      <c r="J129" s="23" t="n"/>
    </row>
    <row r="130">
      <c r="A130" s="22" t="n"/>
      <c r="F130" s="26" t="n"/>
      <c r="G130" s="26" t="n"/>
      <c r="I130" s="23" t="n"/>
      <c r="J130" s="23" t="n"/>
    </row>
    <row r="131">
      <c r="A131" s="22" t="n"/>
      <c r="F131" s="26" t="n"/>
      <c r="G131" s="26" t="n"/>
      <c r="I131" s="23" t="n"/>
      <c r="J131" s="23" t="n"/>
    </row>
    <row r="132">
      <c r="A132" s="22" t="n"/>
      <c r="F132" s="26" t="n"/>
      <c r="G132" s="26" t="n"/>
      <c r="I132" s="23" t="n"/>
      <c r="J132" s="23" t="n"/>
    </row>
    <row r="133">
      <c r="A133" s="22" t="n"/>
      <c r="F133" s="26" t="n"/>
      <c r="G133" s="26" t="n"/>
      <c r="I133" s="23" t="n"/>
      <c r="J133" s="23" t="n"/>
    </row>
    <row r="134">
      <c r="A134" s="22" t="n"/>
      <c r="F134" s="26" t="n"/>
      <c r="G134" s="26" t="n"/>
      <c r="I134" s="23" t="n"/>
      <c r="J134" s="23" t="n"/>
    </row>
    <row r="135">
      <c r="A135" s="22" t="n"/>
      <c r="F135" s="26" t="n"/>
      <c r="G135" s="26" t="n"/>
      <c r="I135" s="23" t="n"/>
      <c r="J135" s="23" t="n"/>
    </row>
    <row r="136">
      <c r="A136" s="22" t="n"/>
      <c r="F136" s="26" t="n"/>
      <c r="G136" s="26" t="n"/>
      <c r="I136" s="23" t="n"/>
      <c r="J136" s="23" t="n"/>
    </row>
    <row r="137">
      <c r="A137" s="22" t="n"/>
      <c r="F137" s="26" t="n"/>
      <c r="G137" s="26" t="n"/>
      <c r="I137" s="23" t="n"/>
      <c r="J137" s="23" t="n"/>
    </row>
    <row r="138">
      <c r="A138" s="22" t="n"/>
      <c r="F138" s="26" t="n"/>
      <c r="G138" s="26" t="n"/>
      <c r="I138" s="23" t="n"/>
      <c r="J138" s="23" t="n"/>
    </row>
    <row r="139">
      <c r="A139" s="22" t="n"/>
      <c r="F139" s="26" t="n"/>
      <c r="G139" s="26" t="n"/>
      <c r="I139" s="23" t="n"/>
      <c r="J139" s="23" t="n"/>
    </row>
    <row r="140">
      <c r="A140" s="22" t="n"/>
      <c r="F140" s="26" t="n"/>
      <c r="G140" s="26" t="n"/>
      <c r="I140" s="23" t="n"/>
      <c r="J140" s="23" t="n"/>
    </row>
    <row r="141">
      <c r="A141" s="22" t="n"/>
      <c r="F141" s="26" t="n"/>
      <c r="G141" s="26" t="n"/>
      <c r="I141" s="23" t="n"/>
      <c r="J141" s="23" t="n"/>
    </row>
    <row r="142">
      <c r="A142" s="22" t="n"/>
      <c r="F142" s="26" t="n"/>
      <c r="G142" s="26" t="n"/>
      <c r="I142" s="23" t="n"/>
      <c r="J142" s="23" t="n"/>
    </row>
    <row r="143">
      <c r="A143" s="22" t="n"/>
      <c r="F143" s="26" t="n"/>
      <c r="G143" s="26" t="n"/>
      <c r="I143" s="23" t="n"/>
      <c r="J143" s="23" t="n"/>
    </row>
    <row r="144">
      <c r="A144" s="22" t="n"/>
      <c r="F144" s="26" t="n"/>
      <c r="G144" s="26" t="n"/>
      <c r="I144" s="23" t="n"/>
      <c r="J144" s="23" t="n"/>
    </row>
    <row r="145">
      <c r="A145" s="22" t="n"/>
      <c r="F145" s="26" t="n"/>
      <c r="G145" s="26" t="n"/>
      <c r="I145" s="23" t="n"/>
      <c r="J145" s="23" t="n"/>
    </row>
    <row r="146">
      <c r="A146" s="22" t="n"/>
      <c r="F146" s="26" t="n"/>
      <c r="G146" s="26" t="n"/>
      <c r="I146" s="23" t="n"/>
      <c r="J146" s="23" t="n"/>
    </row>
    <row r="147">
      <c r="A147" s="22" t="n"/>
      <c r="F147" s="26" t="n"/>
      <c r="G147" s="26" t="n"/>
      <c r="I147" s="23" t="n"/>
      <c r="J147" s="23" t="n"/>
    </row>
    <row r="148">
      <c r="A148" s="22" t="n"/>
      <c r="F148" s="26" t="n"/>
      <c r="G148" s="26" t="n"/>
      <c r="I148" s="23" t="n"/>
      <c r="J148" s="23" t="n"/>
    </row>
    <row r="149">
      <c r="A149" s="22" t="n"/>
      <c r="F149" s="26" t="n"/>
      <c r="G149" s="26" t="n"/>
      <c r="I149" s="23" t="n"/>
      <c r="J149" s="23" t="n"/>
    </row>
    <row r="150">
      <c r="A150" s="22" t="n"/>
      <c r="F150" s="26" t="n"/>
      <c r="G150" s="26" t="n"/>
      <c r="I150" s="23" t="n"/>
      <c r="J150" s="23" t="n"/>
    </row>
    <row r="151">
      <c r="A151" s="22" t="n"/>
      <c r="F151" s="26" t="n"/>
      <c r="G151" s="26" t="n"/>
      <c r="I151" s="23" t="n"/>
      <c r="J151" s="23" t="n"/>
    </row>
    <row r="152">
      <c r="A152" s="22" t="n"/>
      <c r="F152" s="26" t="n"/>
      <c r="G152" s="26" t="n"/>
      <c r="I152" s="23" t="n"/>
      <c r="J152" s="23" t="n"/>
    </row>
    <row r="153">
      <c r="A153" s="22" t="n"/>
      <c r="F153" s="26" t="n"/>
      <c r="G153" s="26" t="n"/>
      <c r="I153" s="23" t="n"/>
      <c r="J153" s="23" t="n"/>
    </row>
    <row r="154">
      <c r="A154" s="22" t="n"/>
      <c r="F154" s="26" t="n"/>
      <c r="G154" s="26" t="n"/>
      <c r="I154" s="23" t="n"/>
      <c r="J154" s="23" t="n"/>
    </row>
    <row r="155">
      <c r="A155" s="22" t="n"/>
      <c r="F155" s="26" t="n"/>
      <c r="G155" s="26" t="n"/>
      <c r="I155" s="23" t="n"/>
      <c r="J155" s="23" t="n"/>
    </row>
    <row r="156">
      <c r="A156" s="22" t="n"/>
      <c r="F156" s="26" t="n"/>
      <c r="G156" s="26" t="n"/>
      <c r="I156" s="23" t="n"/>
      <c r="J156" s="23" t="n"/>
    </row>
    <row r="157">
      <c r="A157" s="22" t="n"/>
      <c r="F157" s="26" t="n"/>
      <c r="G157" s="26" t="n"/>
      <c r="I157" s="23" t="n"/>
      <c r="J157" s="23" t="n"/>
    </row>
    <row r="158">
      <c r="A158" s="22" t="n"/>
      <c r="F158" s="26" t="n"/>
      <c r="G158" s="26" t="n"/>
      <c r="I158" s="23" t="n"/>
      <c r="J158" s="23" t="n"/>
    </row>
    <row r="159">
      <c r="A159" s="22" t="n"/>
      <c r="F159" s="26" t="n"/>
      <c r="G159" s="26" t="n"/>
      <c r="I159" s="23" t="n"/>
      <c r="J159" s="23" t="n"/>
    </row>
    <row r="160">
      <c r="A160" s="22" t="n"/>
      <c r="F160" s="26" t="n"/>
      <c r="G160" s="26" t="n"/>
      <c r="I160" s="23" t="n"/>
      <c r="J160" s="23" t="n"/>
    </row>
    <row r="161">
      <c r="A161" s="22" t="n"/>
      <c r="F161" s="26" t="n"/>
      <c r="G161" s="26" t="n"/>
      <c r="I161" s="23" t="n"/>
      <c r="J161" s="23" t="n"/>
    </row>
    <row r="162">
      <c r="A162" s="22" t="n"/>
      <c r="F162" s="26" t="n"/>
      <c r="G162" s="26" t="n"/>
      <c r="I162" s="23" t="n"/>
      <c r="J162" s="23" t="n"/>
    </row>
    <row r="163">
      <c r="A163" s="22" t="n"/>
      <c r="F163" s="26" t="n"/>
      <c r="G163" s="26" t="n"/>
      <c r="I163" s="23" t="n"/>
      <c r="J163" s="23" t="n"/>
    </row>
    <row r="164">
      <c r="A164" s="22" t="n"/>
      <c r="F164" s="26" t="n"/>
      <c r="G164" s="26" t="n"/>
      <c r="I164" s="23" t="n"/>
      <c r="J164" s="23" t="n"/>
    </row>
    <row r="165">
      <c r="A165" s="22" t="n"/>
      <c r="F165" s="26" t="n"/>
      <c r="G165" s="26" t="n"/>
      <c r="I165" s="23" t="n"/>
      <c r="J165" s="23" t="n"/>
    </row>
    <row r="166">
      <c r="A166" s="22" t="n"/>
      <c r="F166" s="26" t="n"/>
      <c r="G166" s="26" t="n"/>
      <c r="I166" s="23" t="n"/>
      <c r="J166" s="23" t="n"/>
    </row>
    <row r="167">
      <c r="A167" s="22" t="n"/>
      <c r="F167" s="26" t="n"/>
      <c r="G167" s="26" t="n"/>
      <c r="I167" s="23" t="n"/>
      <c r="J167" s="23" t="n"/>
    </row>
    <row r="168">
      <c r="A168" s="22" t="n"/>
      <c r="F168" s="26" t="n"/>
      <c r="G168" s="26" t="n"/>
      <c r="I168" s="23" t="n"/>
      <c r="J168" s="23" t="n"/>
    </row>
    <row r="169">
      <c r="A169" s="22" t="n"/>
      <c r="F169" s="26" t="n"/>
      <c r="G169" s="26" t="n"/>
      <c r="I169" s="23" t="n"/>
      <c r="J169" s="23" t="n"/>
    </row>
    <row r="170">
      <c r="A170" s="22" t="n"/>
      <c r="F170" s="26" t="n"/>
      <c r="G170" s="26" t="n"/>
      <c r="I170" s="23" t="n"/>
      <c r="J170" s="23" t="n"/>
    </row>
    <row r="171">
      <c r="A171" s="22" t="n"/>
      <c r="F171" s="26" t="n"/>
      <c r="G171" s="26" t="n"/>
      <c r="I171" s="23" t="n"/>
      <c r="J171" s="23" t="n"/>
    </row>
    <row r="172">
      <c r="A172" s="22" t="n"/>
      <c r="F172" s="26" t="n"/>
      <c r="G172" s="26" t="n"/>
      <c r="I172" s="23" t="n"/>
      <c r="J172" s="23" t="n"/>
    </row>
    <row r="173">
      <c r="A173" s="22" t="n"/>
      <c r="F173" s="26" t="n"/>
      <c r="G173" s="26" t="n"/>
      <c r="I173" s="23" t="n"/>
      <c r="J173" s="23" t="n"/>
    </row>
    <row r="174">
      <c r="A174" s="22" t="n"/>
      <c r="F174" s="26" t="n"/>
      <c r="G174" s="26" t="n"/>
      <c r="I174" s="23" t="n"/>
      <c r="J174" s="23" t="n"/>
    </row>
    <row r="175">
      <c r="A175" s="22" t="n"/>
      <c r="F175" s="26" t="n"/>
      <c r="G175" s="26" t="n"/>
      <c r="I175" s="23" t="n"/>
      <c r="J175" s="23" t="n"/>
    </row>
    <row r="176">
      <c r="A176" s="22" t="n"/>
      <c r="F176" s="26" t="n"/>
      <c r="G176" s="26" t="n"/>
      <c r="I176" s="23" t="n"/>
      <c r="J176" s="23" t="n"/>
    </row>
    <row r="177">
      <c r="A177" s="22" t="n"/>
      <c r="F177" s="26" t="n"/>
      <c r="G177" s="26" t="n"/>
      <c r="I177" s="23" t="n"/>
      <c r="J177" s="23" t="n"/>
    </row>
    <row r="178">
      <c r="A178" s="22" t="n"/>
      <c r="F178" s="26" t="n"/>
      <c r="G178" s="26" t="n"/>
      <c r="I178" s="23" t="n"/>
      <c r="J178" s="23" t="n"/>
    </row>
    <row r="179">
      <c r="A179" s="22" t="n"/>
      <c r="F179" s="26" t="n"/>
      <c r="G179" s="26" t="n"/>
      <c r="I179" s="23" t="n"/>
      <c r="J179" s="23" t="n"/>
    </row>
    <row r="180">
      <c r="A180" s="22" t="n"/>
      <c r="F180" s="26" t="n"/>
      <c r="G180" s="26" t="n"/>
      <c r="I180" s="23" t="n"/>
      <c r="J180" s="23" t="n"/>
    </row>
    <row r="181">
      <c r="A181" s="22" t="n"/>
      <c r="F181" s="26" t="n"/>
      <c r="G181" s="26" t="n"/>
      <c r="I181" s="23" t="n"/>
      <c r="J181" s="23" t="n"/>
    </row>
    <row r="182">
      <c r="A182" s="22" t="n"/>
      <c r="F182" s="26" t="n"/>
      <c r="G182" s="26" t="n"/>
      <c r="I182" s="23" t="n"/>
      <c r="J182" s="23" t="n"/>
    </row>
    <row r="183">
      <c r="A183" s="22" t="n"/>
      <c r="F183" s="26" t="n"/>
      <c r="G183" s="26" t="n"/>
      <c r="I183" s="23" t="n"/>
      <c r="J183" s="23" t="n"/>
    </row>
    <row r="184">
      <c r="A184" s="22" t="n"/>
      <c r="F184" s="26" t="n"/>
      <c r="G184" s="26" t="n"/>
      <c r="I184" s="23" t="n"/>
      <c r="J184" s="23" t="n"/>
    </row>
    <row r="185">
      <c r="A185" s="22" t="n"/>
      <c r="F185" s="26" t="n"/>
      <c r="G185" s="26" t="n"/>
      <c r="I185" s="23" t="n"/>
      <c r="J185" s="23" t="n"/>
    </row>
    <row r="186">
      <c r="A186" s="22" t="n"/>
      <c r="F186" s="26" t="n"/>
      <c r="G186" s="26" t="n"/>
      <c r="I186" s="23" t="n"/>
      <c r="J186" s="23" t="n"/>
    </row>
    <row r="187">
      <c r="A187" s="22" t="n"/>
      <c r="F187" s="26" t="n"/>
      <c r="G187" s="26" t="n"/>
      <c r="I187" s="23" t="n"/>
      <c r="J187" s="23" t="n"/>
    </row>
    <row r="188">
      <c r="A188" s="22" t="n"/>
      <c r="F188" s="26" t="n"/>
      <c r="G188" s="26" t="n"/>
      <c r="I188" s="23" t="n"/>
      <c r="J188" s="23" t="n"/>
    </row>
    <row r="189">
      <c r="A189" s="22" t="n"/>
      <c r="F189" s="26" t="n"/>
      <c r="G189" s="26" t="n"/>
      <c r="I189" s="23" t="n"/>
      <c r="J189" s="23" t="n"/>
    </row>
    <row r="190">
      <c r="A190" s="22" t="n"/>
      <c r="F190" s="26" t="n"/>
      <c r="G190" s="26" t="n"/>
      <c r="I190" s="23" t="n"/>
      <c r="J190" s="23" t="n"/>
    </row>
    <row r="191">
      <c r="A191" s="22" t="n"/>
      <c r="F191" s="26" t="n"/>
      <c r="G191" s="26" t="n"/>
      <c r="I191" s="23" t="n"/>
      <c r="J191" s="23" t="n"/>
    </row>
    <row r="192">
      <c r="A192" s="22" t="n"/>
      <c r="F192" s="26" t="n"/>
      <c r="G192" s="26" t="n"/>
      <c r="I192" s="23" t="n"/>
      <c r="J192" s="23" t="n"/>
    </row>
    <row r="193">
      <c r="A193" s="22" t="n"/>
      <c r="F193" s="26" t="n"/>
      <c r="G193" s="26" t="n"/>
      <c r="I193" s="23" t="n"/>
      <c r="J193" s="23" t="n"/>
    </row>
    <row r="194">
      <c r="A194" s="22" t="n"/>
      <c r="F194" s="26" t="n"/>
      <c r="G194" s="26" t="n"/>
      <c r="I194" s="23" t="n"/>
      <c r="J194" s="23" t="n"/>
    </row>
    <row r="195">
      <c r="A195" s="22" t="n"/>
      <c r="F195" s="26" t="n"/>
      <c r="G195" s="26" t="n"/>
      <c r="I195" s="23" t="n"/>
      <c r="J195" s="23" t="n"/>
    </row>
    <row r="196">
      <c r="A196" s="22" t="n"/>
      <c r="F196" s="26" t="n"/>
      <c r="G196" s="26" t="n"/>
      <c r="I196" s="23" t="n"/>
      <c r="J196" s="23" t="n"/>
    </row>
    <row r="197">
      <c r="A197" s="22" t="n"/>
      <c r="F197" s="26" t="n"/>
      <c r="G197" s="26" t="n"/>
      <c r="I197" s="23" t="n"/>
      <c r="J197" s="23" t="n"/>
    </row>
    <row r="198">
      <c r="A198" s="22" t="n"/>
      <c r="F198" s="26" t="n"/>
      <c r="G198" s="26" t="n"/>
      <c r="I198" s="23" t="n"/>
      <c r="J198" s="23" t="n"/>
    </row>
    <row r="199">
      <c r="A199" s="22" t="n"/>
      <c r="F199" s="26" t="n"/>
      <c r="G199" s="26" t="n"/>
      <c r="I199" s="23" t="n"/>
      <c r="J199" s="23" t="n"/>
    </row>
  </sheetData>
  <dataValidations count="2">
    <dataValidation sqref="K2:K1000" showDropDown="0" showInputMessage="0" showErrorMessage="0" allowBlank="1" errorTitle="Not in list" error="Pick a value from the list" type="list">
      <formula1>"Y,N"</formula1>
    </dataValidation>
    <dataValidation sqref="H2:H1000" showDropDown="0" showInputMessage="0" showErrorMessage="0" allowBlank="1" errorTitle="Not in list" error="Pick a value from the list" type="list">
      <formula1>"Y,N"</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R199"/>
  <sheetViews>
    <sheetView zoomScale="110"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17.3" customWidth="1" min="2" max="2"/>
    <col width="16" customWidth="1" min="3" max="3"/>
    <col width="16.2" customWidth="1" min="4" max="4"/>
    <col width="18.4" customWidth="1" min="5" max="5"/>
    <col width="12" customWidth="1" min="6" max="6"/>
    <col width="22.8" customWidth="1" min="7" max="7"/>
    <col width="25" customWidth="1" min="8" max="8"/>
    <col width="20.6" customWidth="1" min="9" max="9"/>
    <col width="16.2" customWidth="1" min="10" max="10"/>
    <col width="15" customWidth="1" min="11" max="11"/>
    <col width="12.9" customWidth="1" min="12" max="12"/>
    <col width="12.9" customWidth="1" min="13" max="13"/>
    <col width="16.2" customWidth="1" min="14" max="14"/>
    <col width="30" customWidth="1" min="15" max="15"/>
    <col width="16.2" customWidth="1" min="16" max="16"/>
    <col width="19.5" customWidth="1" min="17" max="17"/>
    <col width="30" customWidth="1" min="18" max="18"/>
  </cols>
  <sheetData>
    <row r="1" ht="24" customHeight="1">
      <c r="A1" s="18" t="inlineStr">
        <is>
          <t>Invoice_ID</t>
        </is>
      </c>
      <c r="B1" s="18" t="inlineStr">
        <is>
          <t>Submission_ID</t>
        </is>
      </c>
      <c r="C1" s="19" t="inlineStr">
        <is>
          <t>Flock_Name</t>
        </is>
      </c>
      <c r="D1" s="18" t="inlineStr">
        <is>
          <t>Invoice_Date</t>
        </is>
      </c>
      <c r="E1" s="19" t="inlineStr">
        <is>
          <t>Animals_Billed</t>
        </is>
      </c>
      <c r="F1" s="19" t="inlineStr">
        <is>
          <t>Subtotal</t>
        </is>
      </c>
      <c r="G1" s="19" t="inlineStr">
        <is>
          <t>Submission_Program</t>
        </is>
      </c>
      <c r="H1" s="19" t="inlineStr">
        <is>
          <t>Partner_Organization</t>
        </is>
      </c>
      <c r="I1" s="19" t="inlineStr">
        <is>
          <t>Cost_Share_Total</t>
        </is>
      </c>
      <c r="J1" s="19" t="inlineStr">
        <is>
          <t>Producer_Due</t>
        </is>
      </c>
      <c r="K1" s="16" t="inlineStr">
        <is>
          <t>Status</t>
        </is>
      </c>
      <c r="L1" s="16" t="inlineStr">
        <is>
          <t>Sent_Date</t>
        </is>
      </c>
      <c r="M1" s="16" t="inlineStr">
        <is>
          <t>Paid_Date</t>
        </is>
      </c>
      <c r="N1" s="16" t="inlineStr">
        <is>
          <t>Check_Number</t>
        </is>
      </c>
      <c r="O1" s="16" t="inlineStr">
        <is>
          <t>Notes</t>
        </is>
      </c>
      <c r="P1" s="19" t="inlineStr">
        <is>
          <t>Full_Covered</t>
        </is>
      </c>
      <c r="Q1" s="19" t="inlineStr">
        <is>
          <t>Partial_Covered</t>
        </is>
      </c>
      <c r="R1" s="18" t="inlineStr">
        <is>
          <t>PDF_Link</t>
        </is>
      </c>
    </row>
    <row r="2">
      <c r="A2" s="20" t="inlineStr">
        <is>
          <t>INV-P002-01</t>
        </is>
      </c>
      <c r="B2" s="20" t="inlineStr">
        <is>
          <t>P002-01</t>
        </is>
      </c>
      <c r="C2" s="17">
        <f>IFERROR(INDEX(Submissions!C:C,MATCH(B2,Submissions!A:A,0))&amp;"","")</f>
        <v/>
      </c>
      <c r="D2" s="21" t="n">
        <v>46298</v>
      </c>
      <c r="E2" s="17">
        <f>SUMIFS(Invoice_Lines!E:E,Invoice_Lines!A:A,A2,Invoice_Lines!C:C,"GENO")</f>
        <v/>
      </c>
      <c r="F2" s="25">
        <f>SUMIFS(Invoice_Lines!G:G,Invoice_Lines!A:A,A2)</f>
        <v/>
      </c>
      <c r="G2" s="17">
        <f>IFERROR(INDEX(Submissions!U:U,MATCH(B2,Submissions!A:A,0))&amp;"","")</f>
        <v/>
      </c>
      <c r="H2" s="17">
        <f>IF(G2="","",IFERROR(INDEX(Cost_Share!C:C,MATCH(G2,Cost_Share!A:A,0))&amp;"",""))</f>
        <v/>
      </c>
      <c r="I2" s="25">
        <f>SUMIFS(Invoice_Lines!J:J,Invoice_Lines!A:A,A2)</f>
        <v/>
      </c>
      <c r="J2" s="25">
        <f>F2-I2</f>
        <v/>
      </c>
      <c r="K2" s="17" t="inlineStr">
        <is>
          <t>Paid</t>
        </is>
      </c>
      <c r="L2" s="21" t="n">
        <v>46298</v>
      </c>
      <c r="M2" s="21" t="n">
        <v>46315</v>
      </c>
      <c r="N2" s="20" t="inlineStr">
        <is>
          <t>4417</t>
        </is>
      </c>
      <c r="O2" s="17" t="inlineStr"/>
      <c r="P2" s="17">
        <f>SUMIFS(Invoice_Lines!E:E,Invoice_Lines!A:A,A2,Invoice_Lines!L:L,"Full")</f>
        <v/>
      </c>
      <c r="Q2" s="17">
        <f>SUMIFS(Invoice_Lines!E:E,Invoice_Lines!A:A,A2,Invoice_Lines!L:L,"Partial")</f>
        <v/>
      </c>
      <c r="R2" s="17" t="inlineStr">
        <is>
          <t>[Drive link]</t>
        </is>
      </c>
    </row>
    <row r="3">
      <c r="A3" s="20" t="inlineStr">
        <is>
          <t>INV-P003-01</t>
        </is>
      </c>
      <c r="B3" s="20" t="inlineStr">
        <is>
          <t>P003-01</t>
        </is>
      </c>
      <c r="C3" s="17">
        <f>IFERROR(INDEX(Submissions!C:C,MATCH(B3,Submissions!A:A,0))&amp;"","")</f>
        <v/>
      </c>
      <c r="D3" s="21" t="n">
        <v>46301</v>
      </c>
      <c r="E3" s="17">
        <f>SUMIFS(Invoice_Lines!E:E,Invoice_Lines!A:A,A3,Invoice_Lines!C:C,"GENO")</f>
        <v/>
      </c>
      <c r="F3" s="25">
        <f>SUMIFS(Invoice_Lines!G:G,Invoice_Lines!A:A,A3)</f>
        <v/>
      </c>
      <c r="G3" s="17">
        <f>IFERROR(INDEX(Submissions!U:U,MATCH(B3,Submissions!A:A,0))&amp;"","")</f>
        <v/>
      </c>
      <c r="H3" s="17">
        <f>IF(G3="","",IFERROR(INDEX(Cost_Share!C:C,MATCH(G3,Cost_Share!A:A,0))&amp;"",""))</f>
        <v/>
      </c>
      <c r="I3" s="25">
        <f>SUMIFS(Invoice_Lines!J:J,Invoice_Lines!A:A,A3)</f>
        <v/>
      </c>
      <c r="J3" s="25">
        <f>F3-I3</f>
        <v/>
      </c>
      <c r="K3" s="17" t="inlineStr">
        <is>
          <t>Sent</t>
        </is>
      </c>
      <c r="L3" s="21" t="n">
        <v>46301</v>
      </c>
      <c r="M3" s="21" t="n"/>
      <c r="N3" s="20" t="inlineStr"/>
      <c r="O3" s="17" t="inlineStr"/>
      <c r="P3" s="17">
        <f>SUMIFS(Invoice_Lines!E:E,Invoice_Lines!A:A,A3,Invoice_Lines!L:L,"Full")</f>
        <v/>
      </c>
      <c r="Q3" s="17">
        <f>SUMIFS(Invoice_Lines!E:E,Invoice_Lines!A:A,A3,Invoice_Lines!L:L,"Partial")</f>
        <v/>
      </c>
      <c r="R3" s="17" t="inlineStr">
        <is>
          <t>[Drive link]</t>
        </is>
      </c>
    </row>
    <row r="4">
      <c r="A4" s="22" t="n"/>
      <c r="B4" s="22" t="n"/>
      <c r="D4" s="23" t="n"/>
      <c r="F4" s="26" t="n"/>
      <c r="I4" s="26" t="n"/>
      <c r="J4" s="26" t="n"/>
      <c r="L4" s="23" t="n"/>
      <c r="M4" s="23" t="n"/>
      <c r="N4" s="22" t="n"/>
    </row>
    <row r="5">
      <c r="A5" s="22" t="n"/>
      <c r="B5" s="22" t="n"/>
      <c r="D5" s="23" t="n"/>
      <c r="F5" s="26" t="n"/>
      <c r="I5" s="26" t="n"/>
      <c r="J5" s="26" t="n"/>
      <c r="L5" s="23" t="n"/>
      <c r="M5" s="23" t="n"/>
      <c r="N5" s="22" t="n"/>
    </row>
    <row r="6">
      <c r="A6" s="22" t="n"/>
      <c r="B6" s="22" t="n"/>
      <c r="D6" s="23" t="n"/>
      <c r="F6" s="26" t="n"/>
      <c r="I6" s="26" t="n"/>
      <c r="J6" s="26" t="n"/>
      <c r="L6" s="23" t="n"/>
      <c r="M6" s="23" t="n"/>
      <c r="N6" s="22" t="n"/>
    </row>
    <row r="7">
      <c r="A7" s="22" t="n"/>
      <c r="B7" s="22" t="n"/>
      <c r="D7" s="23" t="n"/>
      <c r="F7" s="26" t="n"/>
      <c r="I7" s="26" t="n"/>
      <c r="J7" s="26" t="n"/>
      <c r="L7" s="23" t="n"/>
      <c r="M7" s="23" t="n"/>
      <c r="N7" s="22" t="n"/>
    </row>
    <row r="8">
      <c r="A8" s="22" t="n"/>
      <c r="B8" s="22" t="n"/>
      <c r="D8" s="23" t="n"/>
      <c r="F8" s="26" t="n"/>
      <c r="I8" s="26" t="n"/>
      <c r="J8" s="26" t="n"/>
      <c r="L8" s="23" t="n"/>
      <c r="M8" s="23" t="n"/>
      <c r="N8" s="22" t="n"/>
    </row>
    <row r="9">
      <c r="A9" s="22" t="n"/>
      <c r="B9" s="22" t="n"/>
      <c r="D9" s="23" t="n"/>
      <c r="F9" s="26" t="n"/>
      <c r="I9" s="26" t="n"/>
      <c r="J9" s="26" t="n"/>
      <c r="L9" s="23" t="n"/>
      <c r="M9" s="23" t="n"/>
      <c r="N9" s="22" t="n"/>
    </row>
    <row r="10">
      <c r="A10" s="22" t="n"/>
      <c r="B10" s="22" t="n"/>
      <c r="D10" s="23" t="n"/>
      <c r="F10" s="26" t="n"/>
      <c r="I10" s="26" t="n"/>
      <c r="J10" s="26" t="n"/>
      <c r="L10" s="23" t="n"/>
      <c r="M10" s="23" t="n"/>
      <c r="N10" s="22" t="n"/>
    </row>
    <row r="11">
      <c r="A11" s="22" t="n"/>
      <c r="B11" s="22" t="n"/>
      <c r="D11" s="23" t="n"/>
      <c r="F11" s="26" t="n"/>
      <c r="I11" s="26" t="n"/>
      <c r="J11" s="26" t="n"/>
      <c r="L11" s="23" t="n"/>
      <c r="M11" s="23" t="n"/>
      <c r="N11" s="22" t="n"/>
    </row>
    <row r="12">
      <c r="A12" s="22" t="n"/>
      <c r="B12" s="22" t="n"/>
      <c r="D12" s="23" t="n"/>
      <c r="F12" s="26" t="n"/>
      <c r="I12" s="26" t="n"/>
      <c r="J12" s="26" t="n"/>
      <c r="L12" s="23" t="n"/>
      <c r="M12" s="23" t="n"/>
      <c r="N12" s="22" t="n"/>
    </row>
    <row r="13">
      <c r="A13" s="22" t="n"/>
      <c r="B13" s="22" t="n"/>
      <c r="D13" s="23" t="n"/>
      <c r="F13" s="26" t="n"/>
      <c r="I13" s="26" t="n"/>
      <c r="J13" s="26" t="n"/>
      <c r="L13" s="23" t="n"/>
      <c r="M13" s="23" t="n"/>
      <c r="N13" s="22" t="n"/>
    </row>
    <row r="14">
      <c r="A14" s="22" t="n"/>
      <c r="B14" s="22" t="n"/>
      <c r="D14" s="23" t="n"/>
      <c r="F14" s="26" t="n"/>
      <c r="I14" s="26" t="n"/>
      <c r="J14" s="26" t="n"/>
      <c r="L14" s="23" t="n"/>
      <c r="M14" s="23" t="n"/>
      <c r="N14" s="22" t="n"/>
    </row>
    <row r="15">
      <c r="A15" s="22" t="n"/>
      <c r="B15" s="22" t="n"/>
      <c r="D15" s="23" t="n"/>
      <c r="F15" s="26" t="n"/>
      <c r="I15" s="26" t="n"/>
      <c r="J15" s="26" t="n"/>
      <c r="L15" s="23" t="n"/>
      <c r="M15" s="23" t="n"/>
      <c r="N15" s="22" t="n"/>
    </row>
    <row r="16">
      <c r="A16" s="22" t="n"/>
      <c r="B16" s="22" t="n"/>
      <c r="D16" s="23" t="n"/>
      <c r="F16" s="26" t="n"/>
      <c r="I16" s="26" t="n"/>
      <c r="J16" s="26" t="n"/>
      <c r="L16" s="23" t="n"/>
      <c r="M16" s="23" t="n"/>
      <c r="N16" s="22" t="n"/>
    </row>
    <row r="17">
      <c r="A17" s="22" t="n"/>
      <c r="B17" s="22" t="n"/>
      <c r="D17" s="23" t="n"/>
      <c r="F17" s="26" t="n"/>
      <c r="I17" s="26" t="n"/>
      <c r="J17" s="26" t="n"/>
      <c r="L17" s="23" t="n"/>
      <c r="M17" s="23" t="n"/>
      <c r="N17" s="22" t="n"/>
    </row>
    <row r="18">
      <c r="A18" s="22" t="n"/>
      <c r="B18" s="22" t="n"/>
      <c r="D18" s="23" t="n"/>
      <c r="F18" s="26" t="n"/>
      <c r="I18" s="26" t="n"/>
      <c r="J18" s="26" t="n"/>
      <c r="L18" s="23" t="n"/>
      <c r="M18" s="23" t="n"/>
      <c r="N18" s="22" t="n"/>
    </row>
    <row r="19">
      <c r="A19" s="22" t="n"/>
      <c r="B19" s="22" t="n"/>
      <c r="D19" s="23" t="n"/>
      <c r="F19" s="26" t="n"/>
      <c r="I19" s="26" t="n"/>
      <c r="J19" s="26" t="n"/>
      <c r="L19" s="23" t="n"/>
      <c r="M19" s="23" t="n"/>
      <c r="N19" s="22" t="n"/>
    </row>
    <row r="20">
      <c r="A20" s="22" t="n"/>
      <c r="B20" s="22" t="n"/>
      <c r="D20" s="23" t="n"/>
      <c r="F20" s="26" t="n"/>
      <c r="I20" s="26" t="n"/>
      <c r="J20" s="26" t="n"/>
      <c r="L20" s="23" t="n"/>
      <c r="M20" s="23" t="n"/>
      <c r="N20" s="22" t="n"/>
    </row>
    <row r="21">
      <c r="A21" s="22" t="n"/>
      <c r="B21" s="22" t="n"/>
      <c r="D21" s="23" t="n"/>
      <c r="F21" s="26" t="n"/>
      <c r="I21" s="26" t="n"/>
      <c r="J21" s="26" t="n"/>
      <c r="L21" s="23" t="n"/>
      <c r="M21" s="23" t="n"/>
      <c r="N21" s="22" t="n"/>
    </row>
    <row r="22">
      <c r="A22" s="22" t="n"/>
      <c r="B22" s="22" t="n"/>
      <c r="D22" s="23" t="n"/>
      <c r="F22" s="26" t="n"/>
      <c r="I22" s="26" t="n"/>
      <c r="J22" s="26" t="n"/>
      <c r="L22" s="23" t="n"/>
      <c r="M22" s="23" t="n"/>
      <c r="N22" s="22" t="n"/>
    </row>
    <row r="23">
      <c r="A23" s="22" t="n"/>
      <c r="B23" s="22" t="n"/>
      <c r="D23" s="23" t="n"/>
      <c r="F23" s="26" t="n"/>
      <c r="I23" s="26" t="n"/>
      <c r="J23" s="26" t="n"/>
      <c r="L23" s="23" t="n"/>
      <c r="M23" s="23" t="n"/>
      <c r="N23" s="22" t="n"/>
    </row>
    <row r="24">
      <c r="A24" s="22" t="n"/>
      <c r="B24" s="22" t="n"/>
      <c r="D24" s="23" t="n"/>
      <c r="F24" s="26" t="n"/>
      <c r="I24" s="26" t="n"/>
      <c r="J24" s="26" t="n"/>
      <c r="L24" s="23" t="n"/>
      <c r="M24" s="23" t="n"/>
      <c r="N24" s="22" t="n"/>
    </row>
    <row r="25">
      <c r="A25" s="22" t="n"/>
      <c r="B25" s="22" t="n"/>
      <c r="D25" s="23" t="n"/>
      <c r="F25" s="26" t="n"/>
      <c r="I25" s="26" t="n"/>
      <c r="J25" s="26" t="n"/>
      <c r="L25" s="23" t="n"/>
      <c r="M25" s="23" t="n"/>
      <c r="N25" s="22" t="n"/>
    </row>
    <row r="26">
      <c r="A26" s="22" t="n"/>
      <c r="B26" s="22" t="n"/>
      <c r="D26" s="23" t="n"/>
      <c r="F26" s="26" t="n"/>
      <c r="I26" s="26" t="n"/>
      <c r="J26" s="26" t="n"/>
      <c r="L26" s="23" t="n"/>
      <c r="M26" s="23" t="n"/>
      <c r="N26" s="22" t="n"/>
    </row>
    <row r="27">
      <c r="A27" s="22" t="n"/>
      <c r="B27" s="22" t="n"/>
      <c r="D27" s="23" t="n"/>
      <c r="F27" s="26" t="n"/>
      <c r="I27" s="26" t="n"/>
      <c r="J27" s="26" t="n"/>
      <c r="L27" s="23" t="n"/>
      <c r="M27" s="23" t="n"/>
      <c r="N27" s="22" t="n"/>
    </row>
    <row r="28">
      <c r="A28" s="22" t="n"/>
      <c r="B28" s="22" t="n"/>
      <c r="D28" s="23" t="n"/>
      <c r="F28" s="26" t="n"/>
      <c r="I28" s="26" t="n"/>
      <c r="J28" s="26" t="n"/>
      <c r="L28" s="23" t="n"/>
      <c r="M28" s="23" t="n"/>
      <c r="N28" s="22" t="n"/>
    </row>
    <row r="29">
      <c r="A29" s="22" t="n"/>
      <c r="B29" s="22" t="n"/>
      <c r="D29" s="23" t="n"/>
      <c r="F29" s="26" t="n"/>
      <c r="I29" s="26" t="n"/>
      <c r="J29" s="26" t="n"/>
      <c r="L29" s="23" t="n"/>
      <c r="M29" s="23" t="n"/>
      <c r="N29" s="22" t="n"/>
    </row>
    <row r="30">
      <c r="A30" s="22" t="n"/>
      <c r="B30" s="22" t="n"/>
      <c r="D30" s="23" t="n"/>
      <c r="F30" s="26" t="n"/>
      <c r="I30" s="26" t="n"/>
      <c r="J30" s="26" t="n"/>
      <c r="L30" s="23" t="n"/>
      <c r="M30" s="23" t="n"/>
      <c r="N30" s="22" t="n"/>
    </row>
    <row r="31">
      <c r="A31" s="22" t="n"/>
      <c r="B31" s="22" t="n"/>
      <c r="D31" s="23" t="n"/>
      <c r="F31" s="26" t="n"/>
      <c r="I31" s="26" t="n"/>
      <c r="J31" s="26" t="n"/>
      <c r="L31" s="23" t="n"/>
      <c r="M31" s="23" t="n"/>
      <c r="N31" s="22" t="n"/>
    </row>
    <row r="32">
      <c r="A32" s="22" t="n"/>
      <c r="B32" s="22" t="n"/>
      <c r="D32" s="23" t="n"/>
      <c r="F32" s="26" t="n"/>
      <c r="I32" s="26" t="n"/>
      <c r="J32" s="26" t="n"/>
      <c r="L32" s="23" t="n"/>
      <c r="M32" s="23" t="n"/>
      <c r="N32" s="22" t="n"/>
    </row>
    <row r="33">
      <c r="A33" s="22" t="n"/>
      <c r="B33" s="22" t="n"/>
      <c r="D33" s="23" t="n"/>
      <c r="F33" s="26" t="n"/>
      <c r="I33" s="26" t="n"/>
      <c r="J33" s="26" t="n"/>
      <c r="L33" s="23" t="n"/>
      <c r="M33" s="23" t="n"/>
      <c r="N33" s="22" t="n"/>
    </row>
    <row r="34">
      <c r="A34" s="22" t="n"/>
      <c r="B34" s="22" t="n"/>
      <c r="D34" s="23" t="n"/>
      <c r="F34" s="26" t="n"/>
      <c r="I34" s="26" t="n"/>
      <c r="J34" s="26" t="n"/>
      <c r="L34" s="23" t="n"/>
      <c r="M34" s="23" t="n"/>
      <c r="N34" s="22" t="n"/>
    </row>
    <row r="35">
      <c r="A35" s="22" t="n"/>
      <c r="B35" s="22" t="n"/>
      <c r="D35" s="23" t="n"/>
      <c r="F35" s="26" t="n"/>
      <c r="I35" s="26" t="n"/>
      <c r="J35" s="26" t="n"/>
      <c r="L35" s="23" t="n"/>
      <c r="M35" s="23" t="n"/>
      <c r="N35" s="22" t="n"/>
    </row>
    <row r="36">
      <c r="A36" s="22" t="n"/>
      <c r="B36" s="22" t="n"/>
      <c r="D36" s="23" t="n"/>
      <c r="F36" s="26" t="n"/>
      <c r="I36" s="26" t="n"/>
      <c r="J36" s="26" t="n"/>
      <c r="L36" s="23" t="n"/>
      <c r="M36" s="23" t="n"/>
      <c r="N36" s="22" t="n"/>
    </row>
    <row r="37">
      <c r="A37" s="22" t="n"/>
      <c r="B37" s="22" t="n"/>
      <c r="D37" s="23" t="n"/>
      <c r="F37" s="26" t="n"/>
      <c r="I37" s="26" t="n"/>
      <c r="J37" s="26" t="n"/>
      <c r="L37" s="23" t="n"/>
      <c r="M37" s="23" t="n"/>
      <c r="N37" s="22" t="n"/>
    </row>
    <row r="38">
      <c r="A38" s="22" t="n"/>
      <c r="B38" s="22" t="n"/>
      <c r="D38" s="23" t="n"/>
      <c r="F38" s="26" t="n"/>
      <c r="I38" s="26" t="n"/>
      <c r="J38" s="26" t="n"/>
      <c r="L38" s="23" t="n"/>
      <c r="M38" s="23" t="n"/>
      <c r="N38" s="22" t="n"/>
    </row>
    <row r="39">
      <c r="A39" s="22" t="n"/>
      <c r="B39" s="22" t="n"/>
      <c r="D39" s="23" t="n"/>
      <c r="F39" s="26" t="n"/>
      <c r="I39" s="26" t="n"/>
      <c r="J39" s="26" t="n"/>
      <c r="L39" s="23" t="n"/>
      <c r="M39" s="23" t="n"/>
      <c r="N39" s="22" t="n"/>
    </row>
    <row r="40">
      <c r="A40" s="22" t="n"/>
      <c r="B40" s="22" t="n"/>
      <c r="D40" s="23" t="n"/>
      <c r="F40" s="26" t="n"/>
      <c r="I40" s="26" t="n"/>
      <c r="J40" s="26" t="n"/>
      <c r="L40" s="23" t="n"/>
      <c r="M40" s="23" t="n"/>
      <c r="N40" s="22" t="n"/>
    </row>
    <row r="41">
      <c r="A41" s="22" t="n"/>
      <c r="B41" s="22" t="n"/>
      <c r="D41" s="23" t="n"/>
      <c r="F41" s="26" t="n"/>
      <c r="I41" s="26" t="n"/>
      <c r="J41" s="26" t="n"/>
      <c r="L41" s="23" t="n"/>
      <c r="M41" s="23" t="n"/>
      <c r="N41" s="22" t="n"/>
    </row>
    <row r="42">
      <c r="A42" s="22" t="n"/>
      <c r="B42" s="22" t="n"/>
      <c r="D42" s="23" t="n"/>
      <c r="F42" s="26" t="n"/>
      <c r="I42" s="26" t="n"/>
      <c r="J42" s="26" t="n"/>
      <c r="L42" s="23" t="n"/>
      <c r="M42" s="23" t="n"/>
      <c r="N42" s="22" t="n"/>
    </row>
    <row r="43">
      <c r="A43" s="22" t="n"/>
      <c r="B43" s="22" t="n"/>
      <c r="D43" s="23" t="n"/>
      <c r="F43" s="26" t="n"/>
      <c r="I43" s="26" t="n"/>
      <c r="J43" s="26" t="n"/>
      <c r="L43" s="23" t="n"/>
      <c r="M43" s="23" t="n"/>
      <c r="N43" s="22" t="n"/>
    </row>
    <row r="44">
      <c r="A44" s="22" t="n"/>
      <c r="B44" s="22" t="n"/>
      <c r="D44" s="23" t="n"/>
      <c r="F44" s="26" t="n"/>
      <c r="I44" s="26" t="n"/>
      <c r="J44" s="26" t="n"/>
      <c r="L44" s="23" t="n"/>
      <c r="M44" s="23" t="n"/>
      <c r="N44" s="22" t="n"/>
    </row>
    <row r="45">
      <c r="A45" s="22" t="n"/>
      <c r="B45" s="22" t="n"/>
      <c r="D45" s="23" t="n"/>
      <c r="F45" s="26" t="n"/>
      <c r="I45" s="26" t="n"/>
      <c r="J45" s="26" t="n"/>
      <c r="L45" s="23" t="n"/>
      <c r="M45" s="23" t="n"/>
      <c r="N45" s="22" t="n"/>
    </row>
    <row r="46">
      <c r="A46" s="22" t="n"/>
      <c r="B46" s="22" t="n"/>
      <c r="D46" s="23" t="n"/>
      <c r="F46" s="26" t="n"/>
      <c r="I46" s="26" t="n"/>
      <c r="J46" s="26" t="n"/>
      <c r="L46" s="23" t="n"/>
      <c r="M46" s="23" t="n"/>
      <c r="N46" s="22" t="n"/>
    </row>
    <row r="47">
      <c r="A47" s="22" t="n"/>
      <c r="B47" s="22" t="n"/>
      <c r="D47" s="23" t="n"/>
      <c r="F47" s="26" t="n"/>
      <c r="I47" s="26" t="n"/>
      <c r="J47" s="26" t="n"/>
      <c r="L47" s="23" t="n"/>
      <c r="M47" s="23" t="n"/>
      <c r="N47" s="22" t="n"/>
    </row>
    <row r="48">
      <c r="A48" s="22" t="n"/>
      <c r="B48" s="22" t="n"/>
      <c r="D48" s="23" t="n"/>
      <c r="F48" s="26" t="n"/>
      <c r="I48" s="26" t="n"/>
      <c r="J48" s="26" t="n"/>
      <c r="L48" s="23" t="n"/>
      <c r="M48" s="23" t="n"/>
      <c r="N48" s="22" t="n"/>
    </row>
    <row r="49">
      <c r="A49" s="22" t="n"/>
      <c r="B49" s="22" t="n"/>
      <c r="D49" s="23" t="n"/>
      <c r="F49" s="26" t="n"/>
      <c r="I49" s="26" t="n"/>
      <c r="J49" s="26" t="n"/>
      <c r="L49" s="23" t="n"/>
      <c r="M49" s="23" t="n"/>
      <c r="N49" s="22" t="n"/>
    </row>
    <row r="50">
      <c r="A50" s="22" t="n"/>
      <c r="B50" s="22" t="n"/>
      <c r="D50" s="23" t="n"/>
      <c r="F50" s="26" t="n"/>
      <c r="I50" s="26" t="n"/>
      <c r="J50" s="26" t="n"/>
      <c r="L50" s="23" t="n"/>
      <c r="M50" s="23" t="n"/>
      <c r="N50" s="22" t="n"/>
    </row>
    <row r="51">
      <c r="A51" s="22" t="n"/>
      <c r="B51" s="22" t="n"/>
      <c r="D51" s="23" t="n"/>
      <c r="F51" s="26" t="n"/>
      <c r="I51" s="26" t="n"/>
      <c r="J51" s="26" t="n"/>
      <c r="L51" s="23" t="n"/>
      <c r="M51" s="23" t="n"/>
      <c r="N51" s="22" t="n"/>
    </row>
    <row r="52">
      <c r="A52" s="22" t="n"/>
      <c r="B52" s="22" t="n"/>
      <c r="D52" s="23" t="n"/>
      <c r="F52" s="26" t="n"/>
      <c r="I52" s="26" t="n"/>
      <c r="J52" s="26" t="n"/>
      <c r="L52" s="23" t="n"/>
      <c r="M52" s="23" t="n"/>
      <c r="N52" s="22" t="n"/>
    </row>
    <row r="53">
      <c r="A53" s="22" t="n"/>
      <c r="B53" s="22" t="n"/>
      <c r="D53" s="23" t="n"/>
      <c r="F53" s="26" t="n"/>
      <c r="I53" s="26" t="n"/>
      <c r="J53" s="26" t="n"/>
      <c r="L53" s="23" t="n"/>
      <c r="M53" s="23" t="n"/>
      <c r="N53" s="22" t="n"/>
    </row>
    <row r="54">
      <c r="A54" s="22" t="n"/>
      <c r="B54" s="22" t="n"/>
      <c r="D54" s="23" t="n"/>
      <c r="F54" s="26" t="n"/>
      <c r="I54" s="26" t="n"/>
      <c r="J54" s="26" t="n"/>
      <c r="L54" s="23" t="n"/>
      <c r="M54" s="23" t="n"/>
      <c r="N54" s="22" t="n"/>
    </row>
    <row r="55">
      <c r="A55" s="22" t="n"/>
      <c r="B55" s="22" t="n"/>
      <c r="D55" s="23" t="n"/>
      <c r="F55" s="26" t="n"/>
      <c r="I55" s="26" t="n"/>
      <c r="J55" s="26" t="n"/>
      <c r="L55" s="23" t="n"/>
      <c r="M55" s="23" t="n"/>
      <c r="N55" s="22" t="n"/>
    </row>
    <row r="56">
      <c r="A56" s="22" t="n"/>
      <c r="B56" s="22" t="n"/>
      <c r="D56" s="23" t="n"/>
      <c r="F56" s="26" t="n"/>
      <c r="I56" s="26" t="n"/>
      <c r="J56" s="26" t="n"/>
      <c r="L56" s="23" t="n"/>
      <c r="M56" s="23" t="n"/>
      <c r="N56" s="22" t="n"/>
    </row>
    <row r="57">
      <c r="A57" s="22" t="n"/>
      <c r="B57" s="22" t="n"/>
      <c r="D57" s="23" t="n"/>
      <c r="F57" s="26" t="n"/>
      <c r="I57" s="26" t="n"/>
      <c r="J57" s="26" t="n"/>
      <c r="L57" s="23" t="n"/>
      <c r="M57" s="23" t="n"/>
      <c r="N57" s="22" t="n"/>
    </row>
    <row r="58">
      <c r="A58" s="22" t="n"/>
      <c r="B58" s="22" t="n"/>
      <c r="D58" s="23" t="n"/>
      <c r="F58" s="26" t="n"/>
      <c r="I58" s="26" t="n"/>
      <c r="J58" s="26" t="n"/>
      <c r="L58" s="23" t="n"/>
      <c r="M58" s="23" t="n"/>
      <c r="N58" s="22" t="n"/>
    </row>
    <row r="59">
      <c r="A59" s="22" t="n"/>
      <c r="B59" s="22" t="n"/>
      <c r="D59" s="23" t="n"/>
      <c r="F59" s="26" t="n"/>
      <c r="I59" s="26" t="n"/>
      <c r="J59" s="26" t="n"/>
      <c r="L59" s="23" t="n"/>
      <c r="M59" s="23" t="n"/>
      <c r="N59" s="22" t="n"/>
    </row>
    <row r="60">
      <c r="A60" s="22" t="n"/>
      <c r="B60" s="22" t="n"/>
      <c r="D60" s="23" t="n"/>
      <c r="F60" s="26" t="n"/>
      <c r="I60" s="26" t="n"/>
      <c r="J60" s="26" t="n"/>
      <c r="L60" s="23" t="n"/>
      <c r="M60" s="23" t="n"/>
      <c r="N60" s="22" t="n"/>
    </row>
    <row r="61">
      <c r="A61" s="22" t="n"/>
      <c r="B61" s="22" t="n"/>
      <c r="D61" s="23" t="n"/>
      <c r="F61" s="26" t="n"/>
      <c r="I61" s="26" t="n"/>
      <c r="J61" s="26" t="n"/>
      <c r="L61" s="23" t="n"/>
      <c r="M61" s="23" t="n"/>
      <c r="N61" s="22" t="n"/>
    </row>
    <row r="62">
      <c r="A62" s="22" t="n"/>
      <c r="B62" s="22" t="n"/>
      <c r="D62" s="23" t="n"/>
      <c r="F62" s="26" t="n"/>
      <c r="I62" s="26" t="n"/>
      <c r="J62" s="26" t="n"/>
      <c r="L62" s="23" t="n"/>
      <c r="M62" s="23" t="n"/>
      <c r="N62" s="22" t="n"/>
    </row>
    <row r="63">
      <c r="A63" s="22" t="n"/>
      <c r="B63" s="22" t="n"/>
      <c r="D63" s="23" t="n"/>
      <c r="F63" s="26" t="n"/>
      <c r="I63" s="26" t="n"/>
      <c r="J63" s="26" t="n"/>
      <c r="L63" s="23" t="n"/>
      <c r="M63" s="23" t="n"/>
      <c r="N63" s="22" t="n"/>
    </row>
    <row r="64">
      <c r="A64" s="22" t="n"/>
      <c r="B64" s="22" t="n"/>
      <c r="D64" s="23" t="n"/>
      <c r="F64" s="26" t="n"/>
      <c r="I64" s="26" t="n"/>
      <c r="J64" s="26" t="n"/>
      <c r="L64" s="23" t="n"/>
      <c r="M64" s="23" t="n"/>
      <c r="N64" s="22" t="n"/>
    </row>
    <row r="65">
      <c r="A65" s="22" t="n"/>
      <c r="B65" s="22" t="n"/>
      <c r="D65" s="23" t="n"/>
      <c r="F65" s="26" t="n"/>
      <c r="I65" s="26" t="n"/>
      <c r="J65" s="26" t="n"/>
      <c r="L65" s="23" t="n"/>
      <c r="M65" s="23" t="n"/>
      <c r="N65" s="22" t="n"/>
    </row>
    <row r="66">
      <c r="A66" s="22" t="n"/>
      <c r="B66" s="22" t="n"/>
      <c r="D66" s="23" t="n"/>
      <c r="F66" s="26" t="n"/>
      <c r="I66" s="26" t="n"/>
      <c r="J66" s="26" t="n"/>
      <c r="L66" s="23" t="n"/>
      <c r="M66" s="23" t="n"/>
      <c r="N66" s="22" t="n"/>
    </row>
    <row r="67">
      <c r="A67" s="22" t="n"/>
      <c r="B67" s="22" t="n"/>
      <c r="D67" s="23" t="n"/>
      <c r="F67" s="26" t="n"/>
      <c r="I67" s="26" t="n"/>
      <c r="J67" s="26" t="n"/>
      <c r="L67" s="23" t="n"/>
      <c r="M67" s="23" t="n"/>
      <c r="N67" s="22" t="n"/>
    </row>
    <row r="68">
      <c r="A68" s="22" t="n"/>
      <c r="B68" s="22" t="n"/>
      <c r="D68" s="23" t="n"/>
      <c r="F68" s="26" t="n"/>
      <c r="I68" s="26" t="n"/>
      <c r="J68" s="26" t="n"/>
      <c r="L68" s="23" t="n"/>
      <c r="M68" s="23" t="n"/>
      <c r="N68" s="22" t="n"/>
    </row>
    <row r="69">
      <c r="A69" s="22" t="n"/>
      <c r="B69" s="22" t="n"/>
      <c r="D69" s="23" t="n"/>
      <c r="F69" s="26" t="n"/>
      <c r="I69" s="26" t="n"/>
      <c r="J69" s="26" t="n"/>
      <c r="L69" s="23" t="n"/>
      <c r="M69" s="23" t="n"/>
      <c r="N69" s="22" t="n"/>
    </row>
    <row r="70">
      <c r="A70" s="22" t="n"/>
      <c r="B70" s="22" t="n"/>
      <c r="D70" s="23" t="n"/>
      <c r="F70" s="26" t="n"/>
      <c r="I70" s="26" t="n"/>
      <c r="J70" s="26" t="n"/>
      <c r="L70" s="23" t="n"/>
      <c r="M70" s="23" t="n"/>
      <c r="N70" s="22" t="n"/>
    </row>
    <row r="71">
      <c r="A71" s="22" t="n"/>
      <c r="B71" s="22" t="n"/>
      <c r="D71" s="23" t="n"/>
      <c r="F71" s="26" t="n"/>
      <c r="I71" s="26" t="n"/>
      <c r="J71" s="26" t="n"/>
      <c r="L71" s="23" t="n"/>
      <c r="M71" s="23" t="n"/>
      <c r="N71" s="22" t="n"/>
    </row>
    <row r="72">
      <c r="A72" s="22" t="n"/>
      <c r="B72" s="22" t="n"/>
      <c r="D72" s="23" t="n"/>
      <c r="F72" s="26" t="n"/>
      <c r="I72" s="26" t="n"/>
      <c r="J72" s="26" t="n"/>
      <c r="L72" s="23" t="n"/>
      <c r="M72" s="23" t="n"/>
      <c r="N72" s="22" t="n"/>
    </row>
    <row r="73">
      <c r="A73" s="22" t="n"/>
      <c r="B73" s="22" t="n"/>
      <c r="D73" s="23" t="n"/>
      <c r="F73" s="26" t="n"/>
      <c r="I73" s="26" t="n"/>
      <c r="J73" s="26" t="n"/>
      <c r="L73" s="23" t="n"/>
      <c r="M73" s="23" t="n"/>
      <c r="N73" s="22" t="n"/>
    </row>
    <row r="74">
      <c r="A74" s="22" t="n"/>
      <c r="B74" s="22" t="n"/>
      <c r="D74" s="23" t="n"/>
      <c r="F74" s="26" t="n"/>
      <c r="I74" s="26" t="n"/>
      <c r="J74" s="26" t="n"/>
      <c r="L74" s="23" t="n"/>
      <c r="M74" s="23" t="n"/>
      <c r="N74" s="22" t="n"/>
    </row>
    <row r="75">
      <c r="A75" s="22" t="n"/>
      <c r="B75" s="22" t="n"/>
      <c r="D75" s="23" t="n"/>
      <c r="F75" s="26" t="n"/>
      <c r="I75" s="26" t="n"/>
      <c r="J75" s="26" t="n"/>
      <c r="L75" s="23" t="n"/>
      <c r="M75" s="23" t="n"/>
      <c r="N75" s="22" t="n"/>
    </row>
    <row r="76">
      <c r="A76" s="22" t="n"/>
      <c r="B76" s="22" t="n"/>
      <c r="D76" s="23" t="n"/>
      <c r="F76" s="26" t="n"/>
      <c r="I76" s="26" t="n"/>
      <c r="J76" s="26" t="n"/>
      <c r="L76" s="23" t="n"/>
      <c r="M76" s="23" t="n"/>
      <c r="N76" s="22" t="n"/>
    </row>
    <row r="77">
      <c r="A77" s="22" t="n"/>
      <c r="B77" s="22" t="n"/>
      <c r="D77" s="23" t="n"/>
      <c r="F77" s="26" t="n"/>
      <c r="I77" s="26" t="n"/>
      <c r="J77" s="26" t="n"/>
      <c r="L77" s="23" t="n"/>
      <c r="M77" s="23" t="n"/>
      <c r="N77" s="22" t="n"/>
    </row>
    <row r="78">
      <c r="A78" s="22" t="n"/>
      <c r="B78" s="22" t="n"/>
      <c r="D78" s="23" t="n"/>
      <c r="F78" s="26" t="n"/>
      <c r="I78" s="26" t="n"/>
      <c r="J78" s="26" t="n"/>
      <c r="L78" s="23" t="n"/>
      <c r="M78" s="23" t="n"/>
      <c r="N78" s="22" t="n"/>
    </row>
    <row r="79">
      <c r="A79" s="22" t="n"/>
      <c r="B79" s="22" t="n"/>
      <c r="D79" s="23" t="n"/>
      <c r="F79" s="26" t="n"/>
      <c r="I79" s="26" t="n"/>
      <c r="J79" s="26" t="n"/>
      <c r="L79" s="23" t="n"/>
      <c r="M79" s="23" t="n"/>
      <c r="N79" s="22" t="n"/>
    </row>
    <row r="80">
      <c r="A80" s="22" t="n"/>
      <c r="B80" s="22" t="n"/>
      <c r="D80" s="23" t="n"/>
      <c r="F80" s="26" t="n"/>
      <c r="I80" s="26" t="n"/>
      <c r="J80" s="26" t="n"/>
      <c r="L80" s="23" t="n"/>
      <c r="M80" s="23" t="n"/>
      <c r="N80" s="22" t="n"/>
    </row>
    <row r="81">
      <c r="A81" s="22" t="n"/>
      <c r="B81" s="22" t="n"/>
      <c r="D81" s="23" t="n"/>
      <c r="F81" s="26" t="n"/>
      <c r="I81" s="26" t="n"/>
      <c r="J81" s="26" t="n"/>
      <c r="L81" s="23" t="n"/>
      <c r="M81" s="23" t="n"/>
      <c r="N81" s="22" t="n"/>
    </row>
    <row r="82">
      <c r="A82" s="22" t="n"/>
      <c r="B82" s="22" t="n"/>
      <c r="D82" s="23" t="n"/>
      <c r="F82" s="26" t="n"/>
      <c r="I82" s="26" t="n"/>
      <c r="J82" s="26" t="n"/>
      <c r="L82" s="23" t="n"/>
      <c r="M82" s="23" t="n"/>
      <c r="N82" s="22" t="n"/>
    </row>
    <row r="83">
      <c r="A83" s="22" t="n"/>
      <c r="B83" s="22" t="n"/>
      <c r="D83" s="23" t="n"/>
      <c r="F83" s="26" t="n"/>
      <c r="I83" s="26" t="n"/>
      <c r="J83" s="26" t="n"/>
      <c r="L83" s="23" t="n"/>
      <c r="M83" s="23" t="n"/>
      <c r="N83" s="22" t="n"/>
    </row>
    <row r="84">
      <c r="A84" s="22" t="n"/>
      <c r="B84" s="22" t="n"/>
      <c r="D84" s="23" t="n"/>
      <c r="F84" s="26" t="n"/>
      <c r="I84" s="26" t="n"/>
      <c r="J84" s="26" t="n"/>
      <c r="L84" s="23" t="n"/>
      <c r="M84" s="23" t="n"/>
      <c r="N84" s="22" t="n"/>
    </row>
    <row r="85">
      <c r="A85" s="22" t="n"/>
      <c r="B85" s="22" t="n"/>
      <c r="D85" s="23" t="n"/>
      <c r="F85" s="26" t="n"/>
      <c r="I85" s="26" t="n"/>
      <c r="J85" s="26" t="n"/>
      <c r="L85" s="23" t="n"/>
      <c r="M85" s="23" t="n"/>
      <c r="N85" s="22" t="n"/>
    </row>
    <row r="86">
      <c r="A86" s="22" t="n"/>
      <c r="B86" s="22" t="n"/>
      <c r="D86" s="23" t="n"/>
      <c r="F86" s="26" t="n"/>
      <c r="I86" s="26" t="n"/>
      <c r="J86" s="26" t="n"/>
      <c r="L86" s="23" t="n"/>
      <c r="M86" s="23" t="n"/>
      <c r="N86" s="22" t="n"/>
    </row>
    <row r="87">
      <c r="A87" s="22" t="n"/>
      <c r="B87" s="22" t="n"/>
      <c r="D87" s="23" t="n"/>
      <c r="F87" s="26" t="n"/>
      <c r="I87" s="26" t="n"/>
      <c r="J87" s="26" t="n"/>
      <c r="L87" s="23" t="n"/>
      <c r="M87" s="23" t="n"/>
      <c r="N87" s="22" t="n"/>
    </row>
    <row r="88">
      <c r="A88" s="22" t="n"/>
      <c r="B88" s="22" t="n"/>
      <c r="D88" s="23" t="n"/>
      <c r="F88" s="26" t="n"/>
      <c r="I88" s="26" t="n"/>
      <c r="J88" s="26" t="n"/>
      <c r="L88" s="23" t="n"/>
      <c r="M88" s="23" t="n"/>
      <c r="N88" s="22" t="n"/>
    </row>
    <row r="89">
      <c r="A89" s="22" t="n"/>
      <c r="B89" s="22" t="n"/>
      <c r="D89" s="23" t="n"/>
      <c r="F89" s="26" t="n"/>
      <c r="I89" s="26" t="n"/>
      <c r="J89" s="26" t="n"/>
      <c r="L89" s="23" t="n"/>
      <c r="M89" s="23" t="n"/>
      <c r="N89" s="22" t="n"/>
    </row>
    <row r="90">
      <c r="A90" s="22" t="n"/>
      <c r="B90" s="22" t="n"/>
      <c r="D90" s="23" t="n"/>
      <c r="F90" s="26" t="n"/>
      <c r="I90" s="26" t="n"/>
      <c r="J90" s="26" t="n"/>
      <c r="L90" s="23" t="n"/>
      <c r="M90" s="23" t="n"/>
      <c r="N90" s="22" t="n"/>
    </row>
    <row r="91">
      <c r="A91" s="22" t="n"/>
      <c r="B91" s="22" t="n"/>
      <c r="D91" s="23" t="n"/>
      <c r="F91" s="26" t="n"/>
      <c r="I91" s="26" t="n"/>
      <c r="J91" s="26" t="n"/>
      <c r="L91" s="23" t="n"/>
      <c r="M91" s="23" t="n"/>
      <c r="N91" s="22" t="n"/>
    </row>
    <row r="92">
      <c r="A92" s="22" t="n"/>
      <c r="B92" s="22" t="n"/>
      <c r="D92" s="23" t="n"/>
      <c r="F92" s="26" t="n"/>
      <c r="I92" s="26" t="n"/>
      <c r="J92" s="26" t="n"/>
      <c r="L92" s="23" t="n"/>
      <c r="M92" s="23" t="n"/>
      <c r="N92" s="22" t="n"/>
    </row>
    <row r="93">
      <c r="A93" s="22" t="n"/>
      <c r="B93" s="22" t="n"/>
      <c r="D93" s="23" t="n"/>
      <c r="F93" s="26" t="n"/>
      <c r="I93" s="26" t="n"/>
      <c r="J93" s="26" t="n"/>
      <c r="L93" s="23" t="n"/>
      <c r="M93" s="23" t="n"/>
      <c r="N93" s="22" t="n"/>
    </row>
    <row r="94">
      <c r="A94" s="22" t="n"/>
      <c r="B94" s="22" t="n"/>
      <c r="D94" s="23" t="n"/>
      <c r="F94" s="26" t="n"/>
      <c r="I94" s="26" t="n"/>
      <c r="J94" s="26" t="n"/>
      <c r="L94" s="23" t="n"/>
      <c r="M94" s="23" t="n"/>
      <c r="N94" s="22" t="n"/>
    </row>
    <row r="95">
      <c r="A95" s="22" t="n"/>
      <c r="B95" s="22" t="n"/>
      <c r="D95" s="23" t="n"/>
      <c r="F95" s="26" t="n"/>
      <c r="I95" s="26" t="n"/>
      <c r="J95" s="26" t="n"/>
      <c r="L95" s="23" t="n"/>
      <c r="M95" s="23" t="n"/>
      <c r="N95" s="22" t="n"/>
    </row>
    <row r="96">
      <c r="A96" s="22" t="n"/>
      <c r="B96" s="22" t="n"/>
      <c r="D96" s="23" t="n"/>
      <c r="F96" s="26" t="n"/>
      <c r="I96" s="26" t="n"/>
      <c r="J96" s="26" t="n"/>
      <c r="L96" s="23" t="n"/>
      <c r="M96" s="23" t="n"/>
      <c r="N96" s="22" t="n"/>
    </row>
    <row r="97">
      <c r="A97" s="22" t="n"/>
      <c r="B97" s="22" t="n"/>
      <c r="D97" s="23" t="n"/>
      <c r="F97" s="26" t="n"/>
      <c r="I97" s="26" t="n"/>
      <c r="J97" s="26" t="n"/>
      <c r="L97" s="23" t="n"/>
      <c r="M97" s="23" t="n"/>
      <c r="N97" s="22" t="n"/>
    </row>
    <row r="98">
      <c r="A98" s="22" t="n"/>
      <c r="B98" s="22" t="n"/>
      <c r="D98" s="23" t="n"/>
      <c r="F98" s="26" t="n"/>
      <c r="I98" s="26" t="n"/>
      <c r="J98" s="26" t="n"/>
      <c r="L98" s="23" t="n"/>
      <c r="M98" s="23" t="n"/>
      <c r="N98" s="22" t="n"/>
    </row>
    <row r="99">
      <c r="A99" s="22" t="n"/>
      <c r="B99" s="22" t="n"/>
      <c r="D99" s="23" t="n"/>
      <c r="F99" s="26" t="n"/>
      <c r="I99" s="26" t="n"/>
      <c r="J99" s="26" t="n"/>
      <c r="L99" s="23" t="n"/>
      <c r="M99" s="23" t="n"/>
      <c r="N99" s="22" t="n"/>
    </row>
    <row r="100">
      <c r="A100" s="22" t="n"/>
      <c r="B100" s="22" t="n"/>
      <c r="D100" s="23" t="n"/>
      <c r="F100" s="26" t="n"/>
      <c r="I100" s="26" t="n"/>
      <c r="J100" s="26" t="n"/>
      <c r="L100" s="23" t="n"/>
      <c r="M100" s="23" t="n"/>
      <c r="N100" s="22" t="n"/>
    </row>
    <row r="101">
      <c r="A101" s="22" t="n"/>
      <c r="B101" s="22" t="n"/>
      <c r="D101" s="23" t="n"/>
      <c r="F101" s="26" t="n"/>
      <c r="I101" s="26" t="n"/>
      <c r="J101" s="26" t="n"/>
      <c r="L101" s="23" t="n"/>
      <c r="M101" s="23" t="n"/>
      <c r="N101" s="22" t="n"/>
    </row>
    <row r="102">
      <c r="A102" s="22" t="n"/>
      <c r="B102" s="22" t="n"/>
      <c r="D102" s="23" t="n"/>
      <c r="F102" s="26" t="n"/>
      <c r="I102" s="26" t="n"/>
      <c r="J102" s="26" t="n"/>
      <c r="L102" s="23" t="n"/>
      <c r="M102" s="23" t="n"/>
      <c r="N102" s="22" t="n"/>
    </row>
    <row r="103">
      <c r="A103" s="22" t="n"/>
      <c r="B103" s="22" t="n"/>
      <c r="D103" s="23" t="n"/>
      <c r="F103" s="26" t="n"/>
      <c r="I103" s="26" t="n"/>
      <c r="J103" s="26" t="n"/>
      <c r="L103" s="23" t="n"/>
      <c r="M103" s="23" t="n"/>
      <c r="N103" s="22" t="n"/>
    </row>
    <row r="104">
      <c r="A104" s="22" t="n"/>
      <c r="B104" s="22" t="n"/>
      <c r="D104" s="23" t="n"/>
      <c r="F104" s="26" t="n"/>
      <c r="I104" s="26" t="n"/>
      <c r="J104" s="26" t="n"/>
      <c r="L104" s="23" t="n"/>
      <c r="M104" s="23" t="n"/>
      <c r="N104" s="22" t="n"/>
    </row>
    <row r="105">
      <c r="A105" s="22" t="n"/>
      <c r="B105" s="22" t="n"/>
      <c r="D105" s="23" t="n"/>
      <c r="F105" s="26" t="n"/>
      <c r="I105" s="26" t="n"/>
      <c r="J105" s="26" t="n"/>
      <c r="L105" s="23" t="n"/>
      <c r="M105" s="23" t="n"/>
      <c r="N105" s="22" t="n"/>
    </row>
    <row r="106">
      <c r="A106" s="22" t="n"/>
      <c r="B106" s="22" t="n"/>
      <c r="D106" s="23" t="n"/>
      <c r="F106" s="26" t="n"/>
      <c r="I106" s="26" t="n"/>
      <c r="J106" s="26" t="n"/>
      <c r="L106" s="23" t="n"/>
      <c r="M106" s="23" t="n"/>
      <c r="N106" s="22" t="n"/>
    </row>
    <row r="107">
      <c r="A107" s="22" t="n"/>
      <c r="B107" s="22" t="n"/>
      <c r="D107" s="23" t="n"/>
      <c r="F107" s="26" t="n"/>
      <c r="I107" s="26" t="n"/>
      <c r="J107" s="26" t="n"/>
      <c r="L107" s="23" t="n"/>
      <c r="M107" s="23" t="n"/>
      <c r="N107" s="22" t="n"/>
    </row>
    <row r="108">
      <c r="A108" s="22" t="n"/>
      <c r="B108" s="22" t="n"/>
      <c r="D108" s="23" t="n"/>
      <c r="F108" s="26" t="n"/>
      <c r="I108" s="26" t="n"/>
      <c r="J108" s="26" t="n"/>
      <c r="L108" s="23" t="n"/>
      <c r="M108" s="23" t="n"/>
      <c r="N108" s="22" t="n"/>
    </row>
    <row r="109">
      <c r="A109" s="22" t="n"/>
      <c r="B109" s="22" t="n"/>
      <c r="D109" s="23" t="n"/>
      <c r="F109" s="26" t="n"/>
      <c r="I109" s="26" t="n"/>
      <c r="J109" s="26" t="n"/>
      <c r="L109" s="23" t="n"/>
      <c r="M109" s="23" t="n"/>
      <c r="N109" s="22" t="n"/>
    </row>
    <row r="110">
      <c r="A110" s="22" t="n"/>
      <c r="B110" s="22" t="n"/>
      <c r="D110" s="23" t="n"/>
      <c r="F110" s="26" t="n"/>
      <c r="I110" s="26" t="n"/>
      <c r="J110" s="26" t="n"/>
      <c r="L110" s="23" t="n"/>
      <c r="M110" s="23" t="n"/>
      <c r="N110" s="22" t="n"/>
    </row>
    <row r="111">
      <c r="A111" s="22" t="n"/>
      <c r="B111" s="22" t="n"/>
      <c r="D111" s="23" t="n"/>
      <c r="F111" s="26" t="n"/>
      <c r="I111" s="26" t="n"/>
      <c r="J111" s="26" t="n"/>
      <c r="L111" s="23" t="n"/>
      <c r="M111" s="23" t="n"/>
      <c r="N111" s="22" t="n"/>
    </row>
    <row r="112">
      <c r="A112" s="22" t="n"/>
      <c r="B112" s="22" t="n"/>
      <c r="D112" s="23" t="n"/>
      <c r="F112" s="26" t="n"/>
      <c r="I112" s="26" t="n"/>
      <c r="J112" s="26" t="n"/>
      <c r="L112" s="23" t="n"/>
      <c r="M112" s="23" t="n"/>
      <c r="N112" s="22" t="n"/>
    </row>
    <row r="113">
      <c r="A113" s="22" t="n"/>
      <c r="B113" s="22" t="n"/>
      <c r="D113" s="23" t="n"/>
      <c r="F113" s="26" t="n"/>
      <c r="I113" s="26" t="n"/>
      <c r="J113" s="26" t="n"/>
      <c r="L113" s="23" t="n"/>
      <c r="M113" s="23" t="n"/>
      <c r="N113" s="22" t="n"/>
    </row>
    <row r="114">
      <c r="A114" s="22" t="n"/>
      <c r="B114" s="22" t="n"/>
      <c r="D114" s="23" t="n"/>
      <c r="F114" s="26" t="n"/>
      <c r="I114" s="26" t="n"/>
      <c r="J114" s="26" t="n"/>
      <c r="L114" s="23" t="n"/>
      <c r="M114" s="23" t="n"/>
      <c r="N114" s="22" t="n"/>
    </row>
    <row r="115">
      <c r="A115" s="22" t="n"/>
      <c r="B115" s="22" t="n"/>
      <c r="D115" s="23" t="n"/>
      <c r="F115" s="26" t="n"/>
      <c r="I115" s="26" t="n"/>
      <c r="J115" s="26" t="n"/>
      <c r="L115" s="23" t="n"/>
      <c r="M115" s="23" t="n"/>
      <c r="N115" s="22" t="n"/>
    </row>
    <row r="116">
      <c r="A116" s="22" t="n"/>
      <c r="B116" s="22" t="n"/>
      <c r="D116" s="23" t="n"/>
      <c r="F116" s="26" t="n"/>
      <c r="I116" s="26" t="n"/>
      <c r="J116" s="26" t="n"/>
      <c r="L116" s="23" t="n"/>
      <c r="M116" s="23" t="n"/>
      <c r="N116" s="22" t="n"/>
    </row>
    <row r="117">
      <c r="A117" s="22" t="n"/>
      <c r="B117" s="22" t="n"/>
      <c r="D117" s="23" t="n"/>
      <c r="F117" s="26" t="n"/>
      <c r="I117" s="26" t="n"/>
      <c r="J117" s="26" t="n"/>
      <c r="L117" s="23" t="n"/>
      <c r="M117" s="23" t="n"/>
      <c r="N117" s="22" t="n"/>
    </row>
    <row r="118">
      <c r="A118" s="22" t="n"/>
      <c r="B118" s="22" t="n"/>
      <c r="D118" s="23" t="n"/>
      <c r="F118" s="26" t="n"/>
      <c r="I118" s="26" t="n"/>
      <c r="J118" s="26" t="n"/>
      <c r="L118" s="23" t="n"/>
      <c r="M118" s="23" t="n"/>
      <c r="N118" s="22" t="n"/>
    </row>
    <row r="119">
      <c r="A119" s="22" t="n"/>
      <c r="B119" s="22" t="n"/>
      <c r="D119" s="23" t="n"/>
      <c r="F119" s="26" t="n"/>
      <c r="I119" s="26" t="n"/>
      <c r="J119" s="26" t="n"/>
      <c r="L119" s="23" t="n"/>
      <c r="M119" s="23" t="n"/>
      <c r="N119" s="22" t="n"/>
    </row>
    <row r="120">
      <c r="A120" s="22" t="n"/>
      <c r="B120" s="22" t="n"/>
      <c r="D120" s="23" t="n"/>
      <c r="F120" s="26" t="n"/>
      <c r="I120" s="26" t="n"/>
      <c r="J120" s="26" t="n"/>
      <c r="L120" s="23" t="n"/>
      <c r="M120" s="23" t="n"/>
      <c r="N120" s="22" t="n"/>
    </row>
    <row r="121">
      <c r="A121" s="22" t="n"/>
      <c r="B121" s="22" t="n"/>
      <c r="D121" s="23" t="n"/>
      <c r="F121" s="26" t="n"/>
      <c r="I121" s="26" t="n"/>
      <c r="J121" s="26" t="n"/>
      <c r="L121" s="23" t="n"/>
      <c r="M121" s="23" t="n"/>
      <c r="N121" s="22" t="n"/>
    </row>
    <row r="122">
      <c r="A122" s="22" t="n"/>
      <c r="B122" s="22" t="n"/>
      <c r="D122" s="23" t="n"/>
      <c r="F122" s="26" t="n"/>
      <c r="I122" s="26" t="n"/>
      <c r="J122" s="26" t="n"/>
      <c r="L122" s="23" t="n"/>
      <c r="M122" s="23" t="n"/>
      <c r="N122" s="22" t="n"/>
    </row>
    <row r="123">
      <c r="A123" s="22" t="n"/>
      <c r="B123" s="22" t="n"/>
      <c r="D123" s="23" t="n"/>
      <c r="F123" s="26" t="n"/>
      <c r="I123" s="26" t="n"/>
      <c r="J123" s="26" t="n"/>
      <c r="L123" s="23" t="n"/>
      <c r="M123" s="23" t="n"/>
      <c r="N123" s="22" t="n"/>
    </row>
    <row r="124">
      <c r="A124" s="22" t="n"/>
      <c r="B124" s="22" t="n"/>
      <c r="D124" s="23" t="n"/>
      <c r="F124" s="26" t="n"/>
      <c r="I124" s="26" t="n"/>
      <c r="J124" s="26" t="n"/>
      <c r="L124" s="23" t="n"/>
      <c r="M124" s="23" t="n"/>
      <c r="N124" s="22" t="n"/>
    </row>
    <row r="125">
      <c r="A125" s="22" t="n"/>
      <c r="B125" s="22" t="n"/>
      <c r="D125" s="23" t="n"/>
      <c r="F125" s="26" t="n"/>
      <c r="I125" s="26" t="n"/>
      <c r="J125" s="26" t="n"/>
      <c r="L125" s="23" t="n"/>
      <c r="M125" s="23" t="n"/>
      <c r="N125" s="22" t="n"/>
    </row>
    <row r="126">
      <c r="A126" s="22" t="n"/>
      <c r="B126" s="22" t="n"/>
      <c r="D126" s="23" t="n"/>
      <c r="F126" s="26" t="n"/>
      <c r="I126" s="26" t="n"/>
      <c r="J126" s="26" t="n"/>
      <c r="L126" s="23" t="n"/>
      <c r="M126" s="23" t="n"/>
      <c r="N126" s="22" t="n"/>
    </row>
    <row r="127">
      <c r="A127" s="22" t="n"/>
      <c r="B127" s="22" t="n"/>
      <c r="D127" s="23" t="n"/>
      <c r="F127" s="26" t="n"/>
      <c r="I127" s="26" t="n"/>
      <c r="J127" s="26" t="n"/>
      <c r="L127" s="23" t="n"/>
      <c r="M127" s="23" t="n"/>
      <c r="N127" s="22" t="n"/>
    </row>
    <row r="128">
      <c r="A128" s="22" t="n"/>
      <c r="B128" s="22" t="n"/>
      <c r="D128" s="23" t="n"/>
      <c r="F128" s="26" t="n"/>
      <c r="I128" s="26" t="n"/>
      <c r="J128" s="26" t="n"/>
      <c r="L128" s="23" t="n"/>
      <c r="M128" s="23" t="n"/>
      <c r="N128" s="22" t="n"/>
    </row>
    <row r="129">
      <c r="A129" s="22" t="n"/>
      <c r="B129" s="22" t="n"/>
      <c r="D129" s="23" t="n"/>
      <c r="F129" s="26" t="n"/>
      <c r="I129" s="26" t="n"/>
      <c r="J129" s="26" t="n"/>
      <c r="L129" s="23" t="n"/>
      <c r="M129" s="23" t="n"/>
      <c r="N129" s="22" t="n"/>
    </row>
    <row r="130">
      <c r="A130" s="22" t="n"/>
      <c r="B130" s="22" t="n"/>
      <c r="D130" s="23" t="n"/>
      <c r="F130" s="26" t="n"/>
      <c r="I130" s="26" t="n"/>
      <c r="J130" s="26" t="n"/>
      <c r="L130" s="23" t="n"/>
      <c r="M130" s="23" t="n"/>
      <c r="N130" s="22" t="n"/>
    </row>
    <row r="131">
      <c r="A131" s="22" t="n"/>
      <c r="B131" s="22" t="n"/>
      <c r="D131" s="23" t="n"/>
      <c r="F131" s="26" t="n"/>
      <c r="I131" s="26" t="n"/>
      <c r="J131" s="26" t="n"/>
      <c r="L131" s="23" t="n"/>
      <c r="M131" s="23" t="n"/>
      <c r="N131" s="22" t="n"/>
    </row>
    <row r="132">
      <c r="A132" s="22" t="n"/>
      <c r="B132" s="22" t="n"/>
      <c r="D132" s="23" t="n"/>
      <c r="F132" s="26" t="n"/>
      <c r="I132" s="26" t="n"/>
      <c r="J132" s="26" t="n"/>
      <c r="L132" s="23" t="n"/>
      <c r="M132" s="23" t="n"/>
      <c r="N132" s="22" t="n"/>
    </row>
    <row r="133">
      <c r="A133" s="22" t="n"/>
      <c r="B133" s="22" t="n"/>
      <c r="D133" s="23" t="n"/>
      <c r="F133" s="26" t="n"/>
      <c r="I133" s="26" t="n"/>
      <c r="J133" s="26" t="n"/>
      <c r="L133" s="23" t="n"/>
      <c r="M133" s="23" t="n"/>
      <c r="N133" s="22" t="n"/>
    </row>
    <row r="134">
      <c r="A134" s="22" t="n"/>
      <c r="B134" s="22" t="n"/>
      <c r="D134" s="23" t="n"/>
      <c r="F134" s="26" t="n"/>
      <c r="I134" s="26" t="n"/>
      <c r="J134" s="26" t="n"/>
      <c r="L134" s="23" t="n"/>
      <c r="M134" s="23" t="n"/>
      <c r="N134" s="22" t="n"/>
    </row>
    <row r="135">
      <c r="A135" s="22" t="n"/>
      <c r="B135" s="22" t="n"/>
      <c r="D135" s="23" t="n"/>
      <c r="F135" s="26" t="n"/>
      <c r="I135" s="26" t="n"/>
      <c r="J135" s="26" t="n"/>
      <c r="L135" s="23" t="n"/>
      <c r="M135" s="23" t="n"/>
      <c r="N135" s="22" t="n"/>
    </row>
    <row r="136">
      <c r="A136" s="22" t="n"/>
      <c r="B136" s="22" t="n"/>
      <c r="D136" s="23" t="n"/>
      <c r="F136" s="26" t="n"/>
      <c r="I136" s="26" t="n"/>
      <c r="J136" s="26" t="n"/>
      <c r="L136" s="23" t="n"/>
      <c r="M136" s="23" t="n"/>
      <c r="N136" s="22" t="n"/>
    </row>
    <row r="137">
      <c r="A137" s="22" t="n"/>
      <c r="B137" s="22" t="n"/>
      <c r="D137" s="23" t="n"/>
      <c r="F137" s="26" t="n"/>
      <c r="I137" s="26" t="n"/>
      <c r="J137" s="26" t="n"/>
      <c r="L137" s="23" t="n"/>
      <c r="M137" s="23" t="n"/>
      <c r="N137" s="22" t="n"/>
    </row>
    <row r="138">
      <c r="A138" s="22" t="n"/>
      <c r="B138" s="22" t="n"/>
      <c r="D138" s="23" t="n"/>
      <c r="F138" s="26" t="n"/>
      <c r="I138" s="26" t="n"/>
      <c r="J138" s="26" t="n"/>
      <c r="L138" s="23" t="n"/>
      <c r="M138" s="23" t="n"/>
      <c r="N138" s="22" t="n"/>
    </row>
    <row r="139">
      <c r="A139" s="22" t="n"/>
      <c r="B139" s="22" t="n"/>
      <c r="D139" s="23" t="n"/>
      <c r="F139" s="26" t="n"/>
      <c r="I139" s="26" t="n"/>
      <c r="J139" s="26" t="n"/>
      <c r="L139" s="23" t="n"/>
      <c r="M139" s="23" t="n"/>
      <c r="N139" s="22" t="n"/>
    </row>
    <row r="140">
      <c r="A140" s="22" t="n"/>
      <c r="B140" s="22" t="n"/>
      <c r="D140" s="23" t="n"/>
      <c r="F140" s="26" t="n"/>
      <c r="I140" s="26" t="n"/>
      <c r="J140" s="26" t="n"/>
      <c r="L140" s="23" t="n"/>
      <c r="M140" s="23" t="n"/>
      <c r="N140" s="22" t="n"/>
    </row>
    <row r="141">
      <c r="A141" s="22" t="n"/>
      <c r="B141" s="22" t="n"/>
      <c r="D141" s="23" t="n"/>
      <c r="F141" s="26" t="n"/>
      <c r="I141" s="26" t="n"/>
      <c r="J141" s="26" t="n"/>
      <c r="L141" s="23" t="n"/>
      <c r="M141" s="23" t="n"/>
      <c r="N141" s="22" t="n"/>
    </row>
    <row r="142">
      <c r="A142" s="22" t="n"/>
      <c r="B142" s="22" t="n"/>
      <c r="D142" s="23" t="n"/>
      <c r="F142" s="26" t="n"/>
      <c r="I142" s="26" t="n"/>
      <c r="J142" s="26" t="n"/>
      <c r="L142" s="23" t="n"/>
      <c r="M142" s="23" t="n"/>
      <c r="N142" s="22" t="n"/>
    </row>
    <row r="143">
      <c r="A143" s="22" t="n"/>
      <c r="B143" s="22" t="n"/>
      <c r="D143" s="23" t="n"/>
      <c r="F143" s="26" t="n"/>
      <c r="I143" s="26" t="n"/>
      <c r="J143" s="26" t="n"/>
      <c r="L143" s="23" t="n"/>
      <c r="M143" s="23" t="n"/>
      <c r="N143" s="22" t="n"/>
    </row>
    <row r="144">
      <c r="A144" s="22" t="n"/>
      <c r="B144" s="22" t="n"/>
      <c r="D144" s="23" t="n"/>
      <c r="F144" s="26" t="n"/>
      <c r="I144" s="26" t="n"/>
      <c r="J144" s="26" t="n"/>
      <c r="L144" s="23" t="n"/>
      <c r="M144" s="23" t="n"/>
      <c r="N144" s="22" t="n"/>
    </row>
    <row r="145">
      <c r="A145" s="22" t="n"/>
      <c r="B145" s="22" t="n"/>
      <c r="D145" s="23" t="n"/>
      <c r="F145" s="26" t="n"/>
      <c r="I145" s="26" t="n"/>
      <c r="J145" s="26" t="n"/>
      <c r="L145" s="23" t="n"/>
      <c r="M145" s="23" t="n"/>
      <c r="N145" s="22" t="n"/>
    </row>
    <row r="146">
      <c r="A146" s="22" t="n"/>
      <c r="B146" s="22" t="n"/>
      <c r="D146" s="23" t="n"/>
      <c r="F146" s="26" t="n"/>
      <c r="I146" s="26" t="n"/>
      <c r="J146" s="26" t="n"/>
      <c r="L146" s="23" t="n"/>
      <c r="M146" s="23" t="n"/>
      <c r="N146" s="22" t="n"/>
    </row>
    <row r="147">
      <c r="A147" s="22" t="n"/>
      <c r="B147" s="22" t="n"/>
      <c r="D147" s="23" t="n"/>
      <c r="F147" s="26" t="n"/>
      <c r="I147" s="26" t="n"/>
      <c r="J147" s="26" t="n"/>
      <c r="L147" s="23" t="n"/>
      <c r="M147" s="23" t="n"/>
      <c r="N147" s="22" t="n"/>
    </row>
    <row r="148">
      <c r="A148" s="22" t="n"/>
      <c r="B148" s="22" t="n"/>
      <c r="D148" s="23" t="n"/>
      <c r="F148" s="26" t="n"/>
      <c r="I148" s="26" t="n"/>
      <c r="J148" s="26" t="n"/>
      <c r="L148" s="23" t="n"/>
      <c r="M148" s="23" t="n"/>
      <c r="N148" s="22" t="n"/>
    </row>
    <row r="149">
      <c r="A149" s="22" t="n"/>
      <c r="B149" s="22" t="n"/>
      <c r="D149" s="23" t="n"/>
      <c r="F149" s="26" t="n"/>
      <c r="I149" s="26" t="n"/>
      <c r="J149" s="26" t="n"/>
      <c r="L149" s="23" t="n"/>
      <c r="M149" s="23" t="n"/>
      <c r="N149" s="22" t="n"/>
    </row>
    <row r="150">
      <c r="A150" s="22" t="n"/>
      <c r="B150" s="22" t="n"/>
      <c r="D150" s="23" t="n"/>
      <c r="F150" s="26" t="n"/>
      <c r="I150" s="26" t="n"/>
      <c r="J150" s="26" t="n"/>
      <c r="L150" s="23" t="n"/>
      <c r="M150" s="23" t="n"/>
      <c r="N150" s="22" t="n"/>
    </row>
    <row r="151">
      <c r="A151" s="22" t="n"/>
      <c r="B151" s="22" t="n"/>
      <c r="D151" s="23" t="n"/>
      <c r="F151" s="26" t="n"/>
      <c r="I151" s="26" t="n"/>
      <c r="J151" s="26" t="n"/>
      <c r="L151" s="23" t="n"/>
      <c r="M151" s="23" t="n"/>
      <c r="N151" s="22" t="n"/>
    </row>
    <row r="152">
      <c r="A152" s="22" t="n"/>
      <c r="B152" s="22" t="n"/>
      <c r="D152" s="23" t="n"/>
      <c r="F152" s="26" t="n"/>
      <c r="I152" s="26" t="n"/>
      <c r="J152" s="26" t="n"/>
      <c r="L152" s="23" t="n"/>
      <c r="M152" s="23" t="n"/>
      <c r="N152" s="22" t="n"/>
    </row>
    <row r="153">
      <c r="A153" s="22" t="n"/>
      <c r="B153" s="22" t="n"/>
      <c r="D153" s="23" t="n"/>
      <c r="F153" s="26" t="n"/>
      <c r="I153" s="26" t="n"/>
      <c r="J153" s="26" t="n"/>
      <c r="L153" s="23" t="n"/>
      <c r="M153" s="23" t="n"/>
      <c r="N153" s="22" t="n"/>
    </row>
    <row r="154">
      <c r="A154" s="22" t="n"/>
      <c r="B154" s="22" t="n"/>
      <c r="D154" s="23" t="n"/>
      <c r="F154" s="26" t="n"/>
      <c r="I154" s="26" t="n"/>
      <c r="J154" s="26" t="n"/>
      <c r="L154" s="23" t="n"/>
      <c r="M154" s="23" t="n"/>
      <c r="N154" s="22" t="n"/>
    </row>
    <row r="155">
      <c r="A155" s="22" t="n"/>
      <c r="B155" s="22" t="n"/>
      <c r="D155" s="23" t="n"/>
      <c r="F155" s="26" t="n"/>
      <c r="I155" s="26" t="n"/>
      <c r="J155" s="26" t="n"/>
      <c r="L155" s="23" t="n"/>
      <c r="M155" s="23" t="n"/>
      <c r="N155" s="22" t="n"/>
    </row>
    <row r="156">
      <c r="A156" s="22" t="n"/>
      <c r="B156" s="22" t="n"/>
      <c r="D156" s="23" t="n"/>
      <c r="F156" s="26" t="n"/>
      <c r="I156" s="26" t="n"/>
      <c r="J156" s="26" t="n"/>
      <c r="L156" s="23" t="n"/>
      <c r="M156" s="23" t="n"/>
      <c r="N156" s="22" t="n"/>
    </row>
    <row r="157">
      <c r="A157" s="22" t="n"/>
      <c r="B157" s="22" t="n"/>
      <c r="D157" s="23" t="n"/>
      <c r="F157" s="26" t="n"/>
      <c r="I157" s="26" t="n"/>
      <c r="J157" s="26" t="n"/>
      <c r="L157" s="23" t="n"/>
      <c r="M157" s="23" t="n"/>
      <c r="N157" s="22" t="n"/>
    </row>
    <row r="158">
      <c r="A158" s="22" t="n"/>
      <c r="B158" s="22" t="n"/>
      <c r="D158" s="23" t="n"/>
      <c r="F158" s="26" t="n"/>
      <c r="I158" s="26" t="n"/>
      <c r="J158" s="26" t="n"/>
      <c r="L158" s="23" t="n"/>
      <c r="M158" s="23" t="n"/>
      <c r="N158" s="22" t="n"/>
    </row>
    <row r="159">
      <c r="A159" s="22" t="n"/>
      <c r="B159" s="22" t="n"/>
      <c r="D159" s="23" t="n"/>
      <c r="F159" s="26" t="n"/>
      <c r="I159" s="26" t="n"/>
      <c r="J159" s="26" t="n"/>
      <c r="L159" s="23" t="n"/>
      <c r="M159" s="23" t="n"/>
      <c r="N159" s="22" t="n"/>
    </row>
    <row r="160">
      <c r="A160" s="22" t="n"/>
      <c r="B160" s="22" t="n"/>
      <c r="D160" s="23" t="n"/>
      <c r="F160" s="26" t="n"/>
      <c r="I160" s="26" t="n"/>
      <c r="J160" s="26" t="n"/>
      <c r="L160" s="23" t="n"/>
      <c r="M160" s="23" t="n"/>
      <c r="N160" s="22" t="n"/>
    </row>
    <row r="161">
      <c r="A161" s="22" t="n"/>
      <c r="B161" s="22" t="n"/>
      <c r="D161" s="23" t="n"/>
      <c r="F161" s="26" t="n"/>
      <c r="I161" s="26" t="n"/>
      <c r="J161" s="26" t="n"/>
      <c r="L161" s="23" t="n"/>
      <c r="M161" s="23" t="n"/>
      <c r="N161" s="22" t="n"/>
    </row>
    <row r="162">
      <c r="A162" s="22" t="n"/>
      <c r="B162" s="22" t="n"/>
      <c r="D162" s="23" t="n"/>
      <c r="F162" s="26" t="n"/>
      <c r="I162" s="26" t="n"/>
      <c r="J162" s="26" t="n"/>
      <c r="L162" s="23" t="n"/>
      <c r="M162" s="23" t="n"/>
      <c r="N162" s="22" t="n"/>
    </row>
    <row r="163">
      <c r="A163" s="22" t="n"/>
      <c r="B163" s="22" t="n"/>
      <c r="D163" s="23" t="n"/>
      <c r="F163" s="26" t="n"/>
      <c r="I163" s="26" t="n"/>
      <c r="J163" s="26" t="n"/>
      <c r="L163" s="23" t="n"/>
      <c r="M163" s="23" t="n"/>
      <c r="N163" s="22" t="n"/>
    </row>
    <row r="164">
      <c r="A164" s="22" t="n"/>
      <c r="B164" s="22" t="n"/>
      <c r="D164" s="23" t="n"/>
      <c r="F164" s="26" t="n"/>
      <c r="I164" s="26" t="n"/>
      <c r="J164" s="26" t="n"/>
      <c r="L164" s="23" t="n"/>
      <c r="M164" s="23" t="n"/>
      <c r="N164" s="22" t="n"/>
    </row>
    <row r="165">
      <c r="A165" s="22" t="n"/>
      <c r="B165" s="22" t="n"/>
      <c r="D165" s="23" t="n"/>
      <c r="F165" s="26" t="n"/>
      <c r="I165" s="26" t="n"/>
      <c r="J165" s="26" t="n"/>
      <c r="L165" s="23" t="n"/>
      <c r="M165" s="23" t="n"/>
      <c r="N165" s="22" t="n"/>
    </row>
    <row r="166">
      <c r="A166" s="22" t="n"/>
      <c r="B166" s="22" t="n"/>
      <c r="D166" s="23" t="n"/>
      <c r="F166" s="26" t="n"/>
      <c r="I166" s="26" t="n"/>
      <c r="J166" s="26" t="n"/>
      <c r="L166" s="23" t="n"/>
      <c r="M166" s="23" t="n"/>
      <c r="N166" s="22" t="n"/>
    </row>
    <row r="167">
      <c r="A167" s="22" t="n"/>
      <c r="B167" s="22" t="n"/>
      <c r="D167" s="23" t="n"/>
      <c r="F167" s="26" t="n"/>
      <c r="I167" s="26" t="n"/>
      <c r="J167" s="26" t="n"/>
      <c r="L167" s="23" t="n"/>
      <c r="M167" s="23" t="n"/>
      <c r="N167" s="22" t="n"/>
    </row>
    <row r="168">
      <c r="A168" s="22" t="n"/>
      <c r="B168" s="22" t="n"/>
      <c r="D168" s="23" t="n"/>
      <c r="F168" s="26" t="n"/>
      <c r="I168" s="26" t="n"/>
      <c r="J168" s="26" t="n"/>
      <c r="L168" s="23" t="n"/>
      <c r="M168" s="23" t="n"/>
      <c r="N168" s="22" t="n"/>
    </row>
    <row r="169">
      <c r="A169" s="22" t="n"/>
      <c r="B169" s="22" t="n"/>
      <c r="D169" s="23" t="n"/>
      <c r="F169" s="26" t="n"/>
      <c r="I169" s="26" t="n"/>
      <c r="J169" s="26" t="n"/>
      <c r="L169" s="23" t="n"/>
      <c r="M169" s="23" t="n"/>
      <c r="N169" s="22" t="n"/>
    </row>
    <row r="170">
      <c r="A170" s="22" t="n"/>
      <c r="B170" s="22" t="n"/>
      <c r="D170" s="23" t="n"/>
      <c r="F170" s="26" t="n"/>
      <c r="I170" s="26" t="n"/>
      <c r="J170" s="26" t="n"/>
      <c r="L170" s="23" t="n"/>
      <c r="M170" s="23" t="n"/>
      <c r="N170" s="22" t="n"/>
    </row>
    <row r="171">
      <c r="A171" s="22" t="n"/>
      <c r="B171" s="22" t="n"/>
      <c r="D171" s="23" t="n"/>
      <c r="F171" s="26" t="n"/>
      <c r="I171" s="26" t="n"/>
      <c r="J171" s="26" t="n"/>
      <c r="L171" s="23" t="n"/>
      <c r="M171" s="23" t="n"/>
      <c r="N171" s="22" t="n"/>
    </row>
    <row r="172">
      <c r="A172" s="22" t="n"/>
      <c r="B172" s="22" t="n"/>
      <c r="D172" s="23" t="n"/>
      <c r="F172" s="26" t="n"/>
      <c r="I172" s="26" t="n"/>
      <c r="J172" s="26" t="n"/>
      <c r="L172" s="23" t="n"/>
      <c r="M172" s="23" t="n"/>
      <c r="N172" s="22" t="n"/>
    </row>
    <row r="173">
      <c r="A173" s="22" t="n"/>
      <c r="B173" s="22" t="n"/>
      <c r="D173" s="23" t="n"/>
      <c r="F173" s="26" t="n"/>
      <c r="I173" s="26" t="n"/>
      <c r="J173" s="26" t="n"/>
      <c r="L173" s="23" t="n"/>
      <c r="M173" s="23" t="n"/>
      <c r="N173" s="22" t="n"/>
    </row>
    <row r="174">
      <c r="A174" s="22" t="n"/>
      <c r="B174" s="22" t="n"/>
      <c r="D174" s="23" t="n"/>
      <c r="F174" s="26" t="n"/>
      <c r="I174" s="26" t="n"/>
      <c r="J174" s="26" t="n"/>
      <c r="L174" s="23" t="n"/>
      <c r="M174" s="23" t="n"/>
      <c r="N174" s="22" t="n"/>
    </row>
    <row r="175">
      <c r="A175" s="22" t="n"/>
      <c r="B175" s="22" t="n"/>
      <c r="D175" s="23" t="n"/>
      <c r="F175" s="26" t="n"/>
      <c r="I175" s="26" t="n"/>
      <c r="J175" s="26" t="n"/>
      <c r="L175" s="23" t="n"/>
      <c r="M175" s="23" t="n"/>
      <c r="N175" s="22" t="n"/>
    </row>
    <row r="176">
      <c r="A176" s="22" t="n"/>
      <c r="B176" s="22" t="n"/>
      <c r="D176" s="23" t="n"/>
      <c r="F176" s="26" t="n"/>
      <c r="I176" s="26" t="n"/>
      <c r="J176" s="26" t="n"/>
      <c r="L176" s="23" t="n"/>
      <c r="M176" s="23" t="n"/>
      <c r="N176" s="22" t="n"/>
    </row>
    <row r="177">
      <c r="A177" s="22" t="n"/>
      <c r="B177" s="22" t="n"/>
      <c r="D177" s="23" t="n"/>
      <c r="F177" s="26" t="n"/>
      <c r="I177" s="26" t="n"/>
      <c r="J177" s="26" t="n"/>
      <c r="L177" s="23" t="n"/>
      <c r="M177" s="23" t="n"/>
      <c r="N177" s="22" t="n"/>
    </row>
    <row r="178">
      <c r="A178" s="22" t="n"/>
      <c r="B178" s="22" t="n"/>
      <c r="D178" s="23" t="n"/>
      <c r="F178" s="26" t="n"/>
      <c r="I178" s="26" t="n"/>
      <c r="J178" s="26" t="n"/>
      <c r="L178" s="23" t="n"/>
      <c r="M178" s="23" t="n"/>
      <c r="N178" s="22" t="n"/>
    </row>
    <row r="179">
      <c r="A179" s="22" t="n"/>
      <c r="B179" s="22" t="n"/>
      <c r="D179" s="23" t="n"/>
      <c r="F179" s="26" t="n"/>
      <c r="I179" s="26" t="n"/>
      <c r="J179" s="26" t="n"/>
      <c r="L179" s="23" t="n"/>
      <c r="M179" s="23" t="n"/>
      <c r="N179" s="22" t="n"/>
    </row>
    <row r="180">
      <c r="A180" s="22" t="n"/>
      <c r="B180" s="22" t="n"/>
      <c r="D180" s="23" t="n"/>
      <c r="F180" s="26" t="n"/>
      <c r="I180" s="26" t="n"/>
      <c r="J180" s="26" t="n"/>
      <c r="L180" s="23" t="n"/>
      <c r="M180" s="23" t="n"/>
      <c r="N180" s="22" t="n"/>
    </row>
    <row r="181">
      <c r="A181" s="22" t="n"/>
      <c r="B181" s="22" t="n"/>
      <c r="D181" s="23" t="n"/>
      <c r="F181" s="26" t="n"/>
      <c r="I181" s="26" t="n"/>
      <c r="J181" s="26" t="n"/>
      <c r="L181" s="23" t="n"/>
      <c r="M181" s="23" t="n"/>
      <c r="N181" s="22" t="n"/>
    </row>
    <row r="182">
      <c r="A182" s="22" t="n"/>
      <c r="B182" s="22" t="n"/>
      <c r="D182" s="23" t="n"/>
      <c r="F182" s="26" t="n"/>
      <c r="I182" s="26" t="n"/>
      <c r="J182" s="26" t="n"/>
      <c r="L182" s="23" t="n"/>
      <c r="M182" s="23" t="n"/>
      <c r="N182" s="22" t="n"/>
    </row>
    <row r="183">
      <c r="A183" s="22" t="n"/>
      <c r="B183" s="22" t="n"/>
      <c r="D183" s="23" t="n"/>
      <c r="F183" s="26" t="n"/>
      <c r="I183" s="26" t="n"/>
      <c r="J183" s="26" t="n"/>
      <c r="L183" s="23" t="n"/>
      <c r="M183" s="23" t="n"/>
      <c r="N183" s="22" t="n"/>
    </row>
    <row r="184">
      <c r="A184" s="22" t="n"/>
      <c r="B184" s="22" t="n"/>
      <c r="D184" s="23" t="n"/>
      <c r="F184" s="26" t="n"/>
      <c r="I184" s="26" t="n"/>
      <c r="J184" s="26" t="n"/>
      <c r="L184" s="23" t="n"/>
      <c r="M184" s="23" t="n"/>
      <c r="N184" s="22" t="n"/>
    </row>
    <row r="185">
      <c r="A185" s="22" t="n"/>
      <c r="B185" s="22" t="n"/>
      <c r="D185" s="23" t="n"/>
      <c r="F185" s="26" t="n"/>
      <c r="I185" s="26" t="n"/>
      <c r="J185" s="26" t="n"/>
      <c r="L185" s="23" t="n"/>
      <c r="M185" s="23" t="n"/>
      <c r="N185" s="22" t="n"/>
    </row>
    <row r="186">
      <c r="A186" s="22" t="n"/>
      <c r="B186" s="22" t="n"/>
      <c r="D186" s="23" t="n"/>
      <c r="F186" s="26" t="n"/>
      <c r="I186" s="26" t="n"/>
      <c r="J186" s="26" t="n"/>
      <c r="L186" s="23" t="n"/>
      <c r="M186" s="23" t="n"/>
      <c r="N186" s="22" t="n"/>
    </row>
    <row r="187">
      <c r="A187" s="22" t="n"/>
      <c r="B187" s="22" t="n"/>
      <c r="D187" s="23" t="n"/>
      <c r="F187" s="26" t="n"/>
      <c r="I187" s="26" t="n"/>
      <c r="J187" s="26" t="n"/>
      <c r="L187" s="23" t="n"/>
      <c r="M187" s="23" t="n"/>
      <c r="N187" s="22" t="n"/>
    </row>
    <row r="188">
      <c r="A188" s="22" t="n"/>
      <c r="B188" s="22" t="n"/>
      <c r="D188" s="23" t="n"/>
      <c r="F188" s="26" t="n"/>
      <c r="I188" s="26" t="n"/>
      <c r="J188" s="26" t="n"/>
      <c r="L188" s="23" t="n"/>
      <c r="M188" s="23" t="n"/>
      <c r="N188" s="22" t="n"/>
    </row>
    <row r="189">
      <c r="A189" s="22" t="n"/>
      <c r="B189" s="22" t="n"/>
      <c r="D189" s="23" t="n"/>
      <c r="F189" s="26" t="n"/>
      <c r="I189" s="26" t="n"/>
      <c r="J189" s="26" t="n"/>
      <c r="L189" s="23" t="n"/>
      <c r="M189" s="23" t="n"/>
      <c r="N189" s="22" t="n"/>
    </row>
    <row r="190">
      <c r="A190" s="22" t="n"/>
      <c r="B190" s="22" t="n"/>
      <c r="D190" s="23" t="n"/>
      <c r="F190" s="26" t="n"/>
      <c r="I190" s="26" t="n"/>
      <c r="J190" s="26" t="n"/>
      <c r="L190" s="23" t="n"/>
      <c r="M190" s="23" t="n"/>
      <c r="N190" s="22" t="n"/>
    </row>
    <row r="191">
      <c r="A191" s="22" t="n"/>
      <c r="B191" s="22" t="n"/>
      <c r="D191" s="23" t="n"/>
      <c r="F191" s="26" t="n"/>
      <c r="I191" s="26" t="n"/>
      <c r="J191" s="26" t="n"/>
      <c r="L191" s="23" t="n"/>
      <c r="M191" s="23" t="n"/>
      <c r="N191" s="22" t="n"/>
    </row>
    <row r="192">
      <c r="A192" s="22" t="n"/>
      <c r="B192" s="22" t="n"/>
      <c r="D192" s="23" t="n"/>
      <c r="F192" s="26" t="n"/>
      <c r="I192" s="26" t="n"/>
      <c r="J192" s="26" t="n"/>
      <c r="L192" s="23" t="n"/>
      <c r="M192" s="23" t="n"/>
      <c r="N192" s="22" t="n"/>
    </row>
    <row r="193">
      <c r="A193" s="22" t="n"/>
      <c r="B193" s="22" t="n"/>
      <c r="D193" s="23" t="n"/>
      <c r="F193" s="26" t="n"/>
      <c r="I193" s="26" t="n"/>
      <c r="J193" s="26" t="n"/>
      <c r="L193" s="23" t="n"/>
      <c r="M193" s="23" t="n"/>
      <c r="N193" s="22" t="n"/>
    </row>
    <row r="194">
      <c r="A194" s="22" t="n"/>
      <c r="B194" s="22" t="n"/>
      <c r="D194" s="23" t="n"/>
      <c r="F194" s="26" t="n"/>
      <c r="I194" s="26" t="n"/>
      <c r="J194" s="26" t="n"/>
      <c r="L194" s="23" t="n"/>
      <c r="M194" s="23" t="n"/>
      <c r="N194" s="22" t="n"/>
    </row>
    <row r="195">
      <c r="A195" s="22" t="n"/>
      <c r="B195" s="22" t="n"/>
      <c r="D195" s="23" t="n"/>
      <c r="F195" s="26" t="n"/>
      <c r="I195" s="26" t="n"/>
      <c r="J195" s="26" t="n"/>
      <c r="L195" s="23" t="n"/>
      <c r="M195" s="23" t="n"/>
      <c r="N195" s="22" t="n"/>
    </row>
    <row r="196">
      <c r="A196" s="22" t="n"/>
      <c r="B196" s="22" t="n"/>
      <c r="D196" s="23" t="n"/>
      <c r="F196" s="26" t="n"/>
      <c r="I196" s="26" t="n"/>
      <c r="J196" s="26" t="n"/>
      <c r="L196" s="23" t="n"/>
      <c r="M196" s="23" t="n"/>
      <c r="N196" s="22" t="n"/>
    </row>
    <row r="197">
      <c r="A197" s="22" t="n"/>
      <c r="B197" s="22" t="n"/>
      <c r="D197" s="23" t="n"/>
      <c r="F197" s="26" t="n"/>
      <c r="I197" s="26" t="n"/>
      <c r="J197" s="26" t="n"/>
      <c r="L197" s="23" t="n"/>
      <c r="M197" s="23" t="n"/>
      <c r="N197" s="22" t="n"/>
    </row>
    <row r="198">
      <c r="A198" s="22" t="n"/>
      <c r="B198" s="22" t="n"/>
      <c r="D198" s="23" t="n"/>
      <c r="F198" s="26" t="n"/>
      <c r="I198" s="26" t="n"/>
      <c r="J198" s="26" t="n"/>
      <c r="L198" s="23" t="n"/>
      <c r="M198" s="23" t="n"/>
      <c r="N198" s="22" t="n"/>
    </row>
    <row r="199">
      <c r="A199" s="22" t="n"/>
      <c r="B199" s="22" t="n"/>
      <c r="D199" s="23" t="n"/>
      <c r="F199" s="26" t="n"/>
      <c r="I199" s="26" t="n"/>
      <c r="J199" s="26" t="n"/>
      <c r="L199" s="23" t="n"/>
      <c r="M199" s="23" t="n"/>
      <c r="N199" s="22" t="n"/>
    </row>
  </sheetData>
  <dataValidations count="1">
    <dataValidation sqref="K2:K1000" showDropDown="0" showInputMessage="0" showErrorMessage="0" allowBlank="1" errorTitle="Not in list" error="Pick a value from the list" type="list">
      <formula1>"Draft,Ready for review,Sent,Paid,Void"</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P199"/>
  <sheetViews>
    <sheetView zoomScale="110"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10.7" customWidth="1" min="2" max="2"/>
    <col width="14" customWidth="1" min="3" max="3"/>
    <col width="40" customWidth="1" min="4" max="4"/>
    <col width="8" customWidth="1" min="5" max="5"/>
    <col width="14" customWidth="1" min="6" max="6"/>
    <col width="11" customWidth="1" min="7" max="7"/>
    <col width="23.9" customWidth="1" min="8" max="8"/>
    <col width="22.8" customWidth="1" min="9" max="9"/>
    <col width="17.3" customWidth="1" min="10" max="10"/>
    <col width="36" customWidth="1" min="11" max="11"/>
    <col width="20.6" customWidth="1" min="12" max="12"/>
    <col width="16.2" customWidth="1" min="13" max="13"/>
    <col width="18.4" customWidth="1" min="14" max="14"/>
    <col width="18.4" customWidth="1" min="15" max="15"/>
    <col width="16.2" customWidth="1" min="16" max="16"/>
  </cols>
  <sheetData>
    <row r="1" ht="24" customHeight="1">
      <c r="A1" s="18" t="inlineStr">
        <is>
          <t>Invoice_ID</t>
        </is>
      </c>
      <c r="B1" s="18" t="inlineStr">
        <is>
          <t>Line_No</t>
        </is>
      </c>
      <c r="C1" s="16" t="inlineStr">
        <is>
          <t>Service_ID</t>
        </is>
      </c>
      <c r="D1" s="16" t="inlineStr">
        <is>
          <t>Description</t>
        </is>
      </c>
      <c r="E1" s="16" t="inlineStr">
        <is>
          <t>Qty</t>
        </is>
      </c>
      <c r="F1" s="16" t="inlineStr">
        <is>
          <t>Unit_Price</t>
        </is>
      </c>
      <c r="G1" s="19" t="inlineStr">
        <is>
          <t>Amount</t>
        </is>
      </c>
      <c r="H1" s="19" t="inlineStr">
        <is>
          <t>Cost_Share_Eligible</t>
        </is>
      </c>
      <c r="I1" s="18" t="inlineStr">
        <is>
          <t>Cost_Share_Program</t>
        </is>
      </c>
      <c r="J1" s="19" t="inlineStr">
        <is>
          <t>Partner_Share</t>
        </is>
      </c>
      <c r="K1" s="16" t="inlineStr">
        <is>
          <t>Notes</t>
        </is>
      </c>
      <c r="L1" s="18" t="inlineStr">
        <is>
          <t>Cost_Share_Level</t>
        </is>
      </c>
      <c r="M1" s="19" t="inlineStr">
        <is>
          <t>Invoice_Date</t>
        </is>
      </c>
      <c r="N1" s="19" t="inlineStr">
        <is>
          <t>Invoice_Status</t>
        </is>
      </c>
      <c r="O1" s="18" t="inlineStr">
        <is>
          <t>Share_Per_Unit</t>
        </is>
      </c>
      <c r="P1" s="18" t="inlineStr">
        <is>
          <t>Partner_Bill</t>
        </is>
      </c>
    </row>
    <row r="2">
      <c r="A2" s="20" t="inlineStr">
        <is>
          <t>INV-P002-01</t>
        </is>
      </c>
      <c r="B2" s="17" t="n">
        <v>1</v>
      </c>
      <c r="C2" s="20" t="inlineStr">
        <is>
          <t>GENO</t>
        </is>
      </c>
      <c r="D2" s="17" t="inlineStr">
        <is>
          <t>Genotyping with conditions and parentage: covered in full by ASI</t>
        </is>
      </c>
      <c r="E2" s="17" t="n">
        <v>3</v>
      </c>
      <c r="F2" s="25" t="n">
        <v>18</v>
      </c>
      <c r="G2" s="25">
        <f>E2*F2</f>
        <v/>
      </c>
      <c r="H2" s="17">
        <f>IFERROR(INDEX(Services!E:E,MATCH(C2,Services!A:A,0))&amp;"","N")</f>
        <v/>
      </c>
      <c r="I2" s="20" t="inlineStr">
        <is>
          <t>CS01</t>
        </is>
      </c>
      <c r="J2" s="25">
        <f>IF(OR(H2&lt;&gt;"Y",I2=""),0,IFERROR(MIN(G2,E2*IF(O2&lt;&gt;"",O2,IF(L2="Full",INDEX(Cost_Share!G:G,MATCH(I2,Cost_Share!A:A,0)),IF(L2="Partial",INDEX(Cost_Share!F:F,MATCH(I2,Cost_Share!A:A,0)),0)))),0))</f>
        <v/>
      </c>
      <c r="K2" s="17" t="inlineStr">
        <is>
          <t>TSUs received 3 Oct</t>
        </is>
      </c>
      <c r="L2" s="17" t="inlineStr">
        <is>
          <t>Full</t>
        </is>
      </c>
      <c r="M2" s="21">
        <f>IFERROR(INDEX(Invoices!D:D,MATCH(A2,Invoices!A:A,0)),"")</f>
        <v/>
      </c>
      <c r="N2" s="17">
        <f>IFERROR(INDEX(Invoices!K:K,MATCH(A2,Invoices!A:A,0))&amp;"","")</f>
        <v/>
      </c>
      <c r="O2" s="25" t="n">
        <v>18</v>
      </c>
      <c r="P2" s="20" t="inlineStr"/>
    </row>
    <row r="3">
      <c r="A3" s="20" t="inlineStr">
        <is>
          <t>INV-P002-01</t>
        </is>
      </c>
      <c r="B3" s="17" t="n">
        <v>2</v>
      </c>
      <c r="C3" s="20" t="inlineStr">
        <is>
          <t>GENO</t>
        </is>
      </c>
      <c r="D3" s="17" t="inlineStr">
        <is>
          <t>Genotyping with conditions and parentage: partly covered by ASI</t>
        </is>
      </c>
      <c r="E3" s="17" t="n">
        <v>1</v>
      </c>
      <c r="F3" s="25" t="n">
        <v>18</v>
      </c>
      <c r="G3" s="25">
        <f>E3*F3</f>
        <v/>
      </c>
      <c r="H3" s="17">
        <f>IFERROR(INDEX(Services!E:E,MATCH(C3,Services!A:A,0))&amp;"","N")</f>
        <v/>
      </c>
      <c r="I3" s="20" t="inlineStr">
        <is>
          <t>CS01</t>
        </is>
      </c>
      <c r="J3" s="25">
        <f>IF(OR(H3&lt;&gt;"Y",I3=""),0,IFERROR(MIN(G3,E3*IF(O3&lt;&gt;"",O3,IF(L3="Full",INDEX(Cost_Share!G:G,MATCH(I3,Cost_Share!A:A,0)),IF(L3="Partial",INDEX(Cost_Share!F:F,MATCH(I3,Cost_Share!A:A,0)),0)))),0))</f>
        <v/>
      </c>
      <c r="K3" s="17" t="inlineStr">
        <is>
          <t>TSUs received 3 Oct</t>
        </is>
      </c>
      <c r="L3" s="17" t="inlineStr">
        <is>
          <t>Partial</t>
        </is>
      </c>
      <c r="M3" s="21">
        <f>IFERROR(INDEX(Invoices!D:D,MATCH(A3,Invoices!A:A,0)),"")</f>
        <v/>
      </c>
      <c r="N3" s="17">
        <f>IFERROR(INDEX(Invoices!K:K,MATCH(A3,Invoices!A:A,0))&amp;"","")</f>
        <v/>
      </c>
      <c r="O3" s="25" t="n">
        <v>6</v>
      </c>
      <c r="P3" s="20" t="inlineStr"/>
    </row>
    <row r="4">
      <c r="A4" s="20" t="inlineStr">
        <is>
          <t>INV-P002-01</t>
        </is>
      </c>
      <c r="B4" s="17" t="n">
        <v>3</v>
      </c>
      <c r="C4" s="20" t="inlineStr">
        <is>
          <t>GENO</t>
        </is>
      </c>
      <c r="D4" s="17" t="inlineStr">
        <is>
          <t>Genotyping with conditions and parentage: covered in full by [Funder]</t>
        </is>
      </c>
      <c r="E4" s="17" t="n">
        <v>1</v>
      </c>
      <c r="F4" s="25" t="n">
        <v>18</v>
      </c>
      <c r="G4" s="25">
        <f>E4*F4</f>
        <v/>
      </c>
      <c r="H4" s="17">
        <f>IFERROR(INDEX(Services!E:E,MATCH(C4,Services!A:A,0))&amp;"","N")</f>
        <v/>
      </c>
      <c r="I4" s="20" t="inlineStr">
        <is>
          <t>GR01</t>
        </is>
      </c>
      <c r="J4" s="25">
        <f>IF(OR(H4&lt;&gt;"Y",I4=""),0,IFERROR(MIN(G4,E4*IF(O4&lt;&gt;"",O4,IF(L4="Full",INDEX(Cost_Share!G:G,MATCH(I4,Cost_Share!A:A,0)),IF(L4="Partial",INDEX(Cost_Share!F:F,MATCH(I4,Cost_Share!A:A,0)),0)))),0))</f>
        <v/>
      </c>
      <c r="K4" s="17" t="inlineStr">
        <is>
          <t>TSUs received 3 Oct</t>
        </is>
      </c>
      <c r="L4" s="17" t="inlineStr">
        <is>
          <t>Full</t>
        </is>
      </c>
      <c r="M4" s="21">
        <f>IFERROR(INDEX(Invoices!D:D,MATCH(A4,Invoices!A:A,0)),"")</f>
        <v/>
      </c>
      <c r="N4" s="17">
        <f>IFERROR(INDEX(Invoices!K:K,MATCH(A4,Invoices!A:A,0))&amp;"","")</f>
        <v/>
      </c>
      <c r="O4" s="25" t="n">
        <v>18</v>
      </c>
      <c r="P4" s="20" t="inlineStr"/>
    </row>
    <row r="5">
      <c r="A5" s="20" t="inlineStr">
        <is>
          <t>INV-P003-01</t>
        </is>
      </c>
      <c r="B5" s="17" t="n">
        <v>1</v>
      </c>
      <c r="C5" s="20" t="inlineStr">
        <is>
          <t>GENO</t>
        </is>
      </c>
      <c r="D5" s="17" t="inlineStr">
        <is>
          <t>Genotyping with conditions and parentage</t>
        </is>
      </c>
      <c r="E5" s="17" t="n">
        <v>11</v>
      </c>
      <c r="F5" s="25" t="n">
        <v>18</v>
      </c>
      <c r="G5" s="25">
        <f>E5*F5</f>
        <v/>
      </c>
      <c r="H5" s="17">
        <f>IFERROR(INDEX(Services!E:E,MATCH(C5,Services!A:A,0))&amp;"","N")</f>
        <v/>
      </c>
      <c r="I5" s="20" t="inlineStr"/>
      <c r="J5" s="25">
        <f>IF(OR(H5&lt;&gt;"Y",I5=""),0,IFERROR(MIN(G5,E5*IF(O5&lt;&gt;"",O5,IF(L5="Full",INDEX(Cost_Share!G:G,MATCH(I5,Cost_Share!A:A,0)),IF(L5="Partial",INDEX(Cost_Share!F:F,MATCH(I5,Cost_Share!A:A,0)),0)))),0))</f>
        <v/>
      </c>
      <c r="K5" s="17" t="inlineStr">
        <is>
          <t>TSUs received 6 Oct</t>
        </is>
      </c>
      <c r="L5" s="17" t="inlineStr"/>
      <c r="M5" s="21">
        <f>IFERROR(INDEX(Invoices!D:D,MATCH(A5,Invoices!A:A,0)),"")</f>
        <v/>
      </c>
      <c r="N5" s="17">
        <f>IFERROR(INDEX(Invoices!K:K,MATCH(A5,Invoices!A:A,0))&amp;"","")</f>
        <v/>
      </c>
      <c r="O5" s="25" t="n"/>
      <c r="P5" s="20" t="inlineStr"/>
    </row>
    <row r="6">
      <c r="A6" s="22" t="n"/>
      <c r="C6" s="22" t="n"/>
      <c r="F6" s="26" t="n"/>
      <c r="G6" s="26" t="n"/>
      <c r="I6" s="22" t="n"/>
      <c r="J6" s="26" t="n"/>
      <c r="M6" s="23" t="n"/>
      <c r="O6" s="26" t="n"/>
      <c r="P6" s="22" t="n"/>
    </row>
    <row r="7">
      <c r="A7" s="22" t="n"/>
      <c r="C7" s="22" t="n"/>
      <c r="F7" s="26" t="n"/>
      <c r="G7" s="26" t="n"/>
      <c r="I7" s="22" t="n"/>
      <c r="J7" s="26" t="n"/>
      <c r="M7" s="23" t="n"/>
      <c r="O7" s="26" t="n"/>
      <c r="P7" s="22" t="n"/>
    </row>
    <row r="8">
      <c r="A8" s="22" t="n"/>
      <c r="C8" s="22" t="n"/>
      <c r="F8" s="26" t="n"/>
      <c r="G8" s="26" t="n"/>
      <c r="I8" s="22" t="n"/>
      <c r="J8" s="26" t="n"/>
      <c r="M8" s="23" t="n"/>
      <c r="O8" s="26" t="n"/>
      <c r="P8" s="22" t="n"/>
    </row>
    <row r="9">
      <c r="A9" s="22" t="n"/>
      <c r="C9" s="22" t="n"/>
      <c r="F9" s="26" t="n"/>
      <c r="G9" s="26" t="n"/>
      <c r="I9" s="22" t="n"/>
      <c r="J9" s="26" t="n"/>
      <c r="M9" s="23" t="n"/>
      <c r="O9" s="26" t="n"/>
      <c r="P9" s="22" t="n"/>
    </row>
    <row r="10">
      <c r="A10" s="22" t="n"/>
      <c r="C10" s="22" t="n"/>
      <c r="F10" s="26" t="n"/>
      <c r="G10" s="26" t="n"/>
      <c r="I10" s="22" t="n"/>
      <c r="J10" s="26" t="n"/>
      <c r="M10" s="23" t="n"/>
      <c r="O10" s="26" t="n"/>
      <c r="P10" s="22" t="n"/>
    </row>
    <row r="11">
      <c r="A11" s="22" t="n"/>
      <c r="C11" s="22" t="n"/>
      <c r="F11" s="26" t="n"/>
      <c r="G11" s="26" t="n"/>
      <c r="I11" s="22" t="n"/>
      <c r="J11" s="26" t="n"/>
      <c r="M11" s="23" t="n"/>
      <c r="O11" s="26" t="n"/>
      <c r="P11" s="22" t="n"/>
    </row>
    <row r="12">
      <c r="A12" s="22" t="n"/>
      <c r="C12" s="22" t="n"/>
      <c r="F12" s="26" t="n"/>
      <c r="G12" s="26" t="n"/>
      <c r="I12" s="22" t="n"/>
      <c r="J12" s="26" t="n"/>
      <c r="M12" s="23" t="n"/>
      <c r="O12" s="26" t="n"/>
      <c r="P12" s="22" t="n"/>
    </row>
    <row r="13">
      <c r="A13" s="22" t="n"/>
      <c r="C13" s="22" t="n"/>
      <c r="F13" s="26" t="n"/>
      <c r="G13" s="26" t="n"/>
      <c r="I13" s="22" t="n"/>
      <c r="J13" s="26" t="n"/>
      <c r="M13" s="23" t="n"/>
      <c r="O13" s="26" t="n"/>
      <c r="P13" s="22" t="n"/>
    </row>
    <row r="14">
      <c r="A14" s="22" t="n"/>
      <c r="C14" s="22" t="n"/>
      <c r="F14" s="26" t="n"/>
      <c r="G14" s="26" t="n"/>
      <c r="I14" s="22" t="n"/>
      <c r="J14" s="26" t="n"/>
      <c r="M14" s="23" t="n"/>
      <c r="O14" s="26" t="n"/>
      <c r="P14" s="22" t="n"/>
    </row>
    <row r="15">
      <c r="A15" s="22" t="n"/>
      <c r="C15" s="22" t="n"/>
      <c r="F15" s="26" t="n"/>
      <c r="G15" s="26" t="n"/>
      <c r="I15" s="22" t="n"/>
      <c r="J15" s="26" t="n"/>
      <c r="M15" s="23" t="n"/>
      <c r="O15" s="26" t="n"/>
      <c r="P15" s="22" t="n"/>
    </row>
    <row r="16">
      <c r="A16" s="22" t="n"/>
      <c r="C16" s="22" t="n"/>
      <c r="F16" s="26" t="n"/>
      <c r="G16" s="26" t="n"/>
      <c r="I16" s="22" t="n"/>
      <c r="J16" s="26" t="n"/>
      <c r="M16" s="23" t="n"/>
      <c r="O16" s="26" t="n"/>
      <c r="P16" s="22" t="n"/>
    </row>
    <row r="17">
      <c r="A17" s="22" t="n"/>
      <c r="C17" s="22" t="n"/>
      <c r="F17" s="26" t="n"/>
      <c r="G17" s="26" t="n"/>
      <c r="I17" s="22" t="n"/>
      <c r="J17" s="26" t="n"/>
      <c r="M17" s="23" t="n"/>
      <c r="O17" s="26" t="n"/>
      <c r="P17" s="22" t="n"/>
    </row>
    <row r="18">
      <c r="A18" s="22" t="n"/>
      <c r="C18" s="22" t="n"/>
      <c r="F18" s="26" t="n"/>
      <c r="G18" s="26" t="n"/>
      <c r="I18" s="22" t="n"/>
      <c r="J18" s="26" t="n"/>
      <c r="M18" s="23" t="n"/>
      <c r="O18" s="26" t="n"/>
      <c r="P18" s="22" t="n"/>
    </row>
    <row r="19">
      <c r="A19" s="22" t="n"/>
      <c r="C19" s="22" t="n"/>
      <c r="F19" s="26" t="n"/>
      <c r="G19" s="26" t="n"/>
      <c r="I19" s="22" t="n"/>
      <c r="J19" s="26" t="n"/>
      <c r="M19" s="23" t="n"/>
      <c r="O19" s="26" t="n"/>
      <c r="P19" s="22" t="n"/>
    </row>
    <row r="20">
      <c r="A20" s="22" t="n"/>
      <c r="C20" s="22" t="n"/>
      <c r="F20" s="26" t="n"/>
      <c r="G20" s="26" t="n"/>
      <c r="I20" s="22" t="n"/>
      <c r="J20" s="26" t="n"/>
      <c r="M20" s="23" t="n"/>
      <c r="O20" s="26" t="n"/>
      <c r="P20" s="22" t="n"/>
    </row>
    <row r="21">
      <c r="A21" s="22" t="n"/>
      <c r="C21" s="22" t="n"/>
      <c r="F21" s="26" t="n"/>
      <c r="G21" s="26" t="n"/>
      <c r="I21" s="22" t="n"/>
      <c r="J21" s="26" t="n"/>
      <c r="M21" s="23" t="n"/>
      <c r="O21" s="26" t="n"/>
      <c r="P21" s="22" t="n"/>
    </row>
    <row r="22">
      <c r="A22" s="22" t="n"/>
      <c r="C22" s="22" t="n"/>
      <c r="F22" s="26" t="n"/>
      <c r="G22" s="26" t="n"/>
      <c r="I22" s="22" t="n"/>
      <c r="J22" s="26" t="n"/>
      <c r="M22" s="23" t="n"/>
      <c r="O22" s="26" t="n"/>
      <c r="P22" s="22" t="n"/>
    </row>
    <row r="23">
      <c r="A23" s="22" t="n"/>
      <c r="C23" s="22" t="n"/>
      <c r="F23" s="26" t="n"/>
      <c r="G23" s="26" t="n"/>
      <c r="I23" s="22" t="n"/>
      <c r="J23" s="26" t="n"/>
      <c r="M23" s="23" t="n"/>
      <c r="O23" s="26" t="n"/>
      <c r="P23" s="22" t="n"/>
    </row>
    <row r="24">
      <c r="A24" s="22" t="n"/>
      <c r="C24" s="22" t="n"/>
      <c r="F24" s="26" t="n"/>
      <c r="G24" s="26" t="n"/>
      <c r="I24" s="22" t="n"/>
      <c r="J24" s="26" t="n"/>
      <c r="M24" s="23" t="n"/>
      <c r="O24" s="26" t="n"/>
      <c r="P24" s="22" t="n"/>
    </row>
    <row r="25">
      <c r="A25" s="22" t="n"/>
      <c r="C25" s="22" t="n"/>
      <c r="F25" s="26" t="n"/>
      <c r="G25" s="26" t="n"/>
      <c r="I25" s="22" t="n"/>
      <c r="J25" s="26" t="n"/>
      <c r="M25" s="23" t="n"/>
      <c r="O25" s="26" t="n"/>
      <c r="P25" s="22" t="n"/>
    </row>
    <row r="26">
      <c r="A26" s="22" t="n"/>
      <c r="C26" s="22" t="n"/>
      <c r="F26" s="26" t="n"/>
      <c r="G26" s="26" t="n"/>
      <c r="I26" s="22" t="n"/>
      <c r="J26" s="26" t="n"/>
      <c r="M26" s="23" t="n"/>
      <c r="O26" s="26" t="n"/>
      <c r="P26" s="22" t="n"/>
    </row>
    <row r="27">
      <c r="A27" s="22" t="n"/>
      <c r="C27" s="22" t="n"/>
      <c r="F27" s="26" t="n"/>
      <c r="G27" s="26" t="n"/>
      <c r="I27" s="22" t="n"/>
      <c r="J27" s="26" t="n"/>
      <c r="M27" s="23" t="n"/>
      <c r="O27" s="26" t="n"/>
      <c r="P27" s="22" t="n"/>
    </row>
    <row r="28">
      <c r="A28" s="22" t="n"/>
      <c r="C28" s="22" t="n"/>
      <c r="F28" s="26" t="n"/>
      <c r="G28" s="26" t="n"/>
      <c r="I28" s="22" t="n"/>
      <c r="J28" s="26" t="n"/>
      <c r="M28" s="23" t="n"/>
      <c r="O28" s="26" t="n"/>
      <c r="P28" s="22" t="n"/>
    </row>
    <row r="29">
      <c r="A29" s="22" t="n"/>
      <c r="C29" s="22" t="n"/>
      <c r="F29" s="26" t="n"/>
      <c r="G29" s="26" t="n"/>
      <c r="I29" s="22" t="n"/>
      <c r="J29" s="26" t="n"/>
      <c r="M29" s="23" t="n"/>
      <c r="O29" s="26" t="n"/>
      <c r="P29" s="22" t="n"/>
    </row>
    <row r="30">
      <c r="A30" s="22" t="n"/>
      <c r="C30" s="22" t="n"/>
      <c r="F30" s="26" t="n"/>
      <c r="G30" s="26" t="n"/>
      <c r="I30" s="22" t="n"/>
      <c r="J30" s="26" t="n"/>
      <c r="M30" s="23" t="n"/>
      <c r="O30" s="26" t="n"/>
      <c r="P30" s="22" t="n"/>
    </row>
    <row r="31">
      <c r="A31" s="22" t="n"/>
      <c r="C31" s="22" t="n"/>
      <c r="F31" s="26" t="n"/>
      <c r="G31" s="26" t="n"/>
      <c r="I31" s="22" t="n"/>
      <c r="J31" s="26" t="n"/>
      <c r="M31" s="23" t="n"/>
      <c r="O31" s="26" t="n"/>
      <c r="P31" s="22" t="n"/>
    </row>
    <row r="32">
      <c r="A32" s="22" t="n"/>
      <c r="C32" s="22" t="n"/>
      <c r="F32" s="26" t="n"/>
      <c r="G32" s="26" t="n"/>
      <c r="I32" s="22" t="n"/>
      <c r="J32" s="26" t="n"/>
      <c r="M32" s="23" t="n"/>
      <c r="O32" s="26" t="n"/>
      <c r="P32" s="22" t="n"/>
    </row>
    <row r="33">
      <c r="A33" s="22" t="n"/>
      <c r="C33" s="22" t="n"/>
      <c r="F33" s="26" t="n"/>
      <c r="G33" s="26" t="n"/>
      <c r="I33" s="22" t="n"/>
      <c r="J33" s="26" t="n"/>
      <c r="M33" s="23" t="n"/>
      <c r="O33" s="26" t="n"/>
      <c r="P33" s="22" t="n"/>
    </row>
    <row r="34">
      <c r="A34" s="22" t="n"/>
      <c r="C34" s="22" t="n"/>
      <c r="F34" s="26" t="n"/>
      <c r="G34" s="26" t="n"/>
      <c r="I34" s="22" t="n"/>
      <c r="J34" s="26" t="n"/>
      <c r="M34" s="23" t="n"/>
      <c r="O34" s="26" t="n"/>
      <c r="P34" s="22" t="n"/>
    </row>
    <row r="35">
      <c r="A35" s="22" t="n"/>
      <c r="C35" s="22" t="n"/>
      <c r="F35" s="26" t="n"/>
      <c r="G35" s="26" t="n"/>
      <c r="I35" s="22" t="n"/>
      <c r="J35" s="26" t="n"/>
      <c r="M35" s="23" t="n"/>
      <c r="O35" s="26" t="n"/>
      <c r="P35" s="22" t="n"/>
    </row>
    <row r="36">
      <c r="A36" s="22" t="n"/>
      <c r="C36" s="22" t="n"/>
      <c r="F36" s="26" t="n"/>
      <c r="G36" s="26" t="n"/>
      <c r="I36" s="22" t="n"/>
      <c r="J36" s="26" t="n"/>
      <c r="M36" s="23" t="n"/>
      <c r="O36" s="26" t="n"/>
      <c r="P36" s="22" t="n"/>
    </row>
    <row r="37">
      <c r="A37" s="22" t="n"/>
      <c r="C37" s="22" t="n"/>
      <c r="F37" s="26" t="n"/>
      <c r="G37" s="26" t="n"/>
      <c r="I37" s="22" t="n"/>
      <c r="J37" s="26" t="n"/>
      <c r="M37" s="23" t="n"/>
      <c r="O37" s="26" t="n"/>
      <c r="P37" s="22" t="n"/>
    </row>
    <row r="38">
      <c r="A38" s="22" t="n"/>
      <c r="C38" s="22" t="n"/>
      <c r="F38" s="26" t="n"/>
      <c r="G38" s="26" t="n"/>
      <c r="I38" s="22" t="n"/>
      <c r="J38" s="26" t="n"/>
      <c r="M38" s="23" t="n"/>
      <c r="O38" s="26" t="n"/>
      <c r="P38" s="22" t="n"/>
    </row>
    <row r="39">
      <c r="A39" s="22" t="n"/>
      <c r="C39" s="22" t="n"/>
      <c r="F39" s="26" t="n"/>
      <c r="G39" s="26" t="n"/>
      <c r="I39" s="22" t="n"/>
      <c r="J39" s="26" t="n"/>
      <c r="M39" s="23" t="n"/>
      <c r="O39" s="26" t="n"/>
      <c r="P39" s="22" t="n"/>
    </row>
    <row r="40">
      <c r="A40" s="22" t="n"/>
      <c r="C40" s="22" t="n"/>
      <c r="F40" s="26" t="n"/>
      <c r="G40" s="26" t="n"/>
      <c r="I40" s="22" t="n"/>
      <c r="J40" s="26" t="n"/>
      <c r="M40" s="23" t="n"/>
      <c r="O40" s="26" t="n"/>
      <c r="P40" s="22" t="n"/>
    </row>
    <row r="41">
      <c r="A41" s="22" t="n"/>
      <c r="C41" s="22" t="n"/>
      <c r="F41" s="26" t="n"/>
      <c r="G41" s="26" t="n"/>
      <c r="I41" s="22" t="n"/>
      <c r="J41" s="26" t="n"/>
      <c r="M41" s="23" t="n"/>
      <c r="O41" s="26" t="n"/>
      <c r="P41" s="22" t="n"/>
    </row>
    <row r="42">
      <c r="A42" s="22" t="n"/>
      <c r="C42" s="22" t="n"/>
      <c r="F42" s="26" t="n"/>
      <c r="G42" s="26" t="n"/>
      <c r="I42" s="22" t="n"/>
      <c r="J42" s="26" t="n"/>
      <c r="M42" s="23" t="n"/>
      <c r="O42" s="26" t="n"/>
      <c r="P42" s="22" t="n"/>
    </row>
    <row r="43">
      <c r="A43" s="22" t="n"/>
      <c r="C43" s="22" t="n"/>
      <c r="F43" s="26" t="n"/>
      <c r="G43" s="26" t="n"/>
      <c r="I43" s="22" t="n"/>
      <c r="J43" s="26" t="n"/>
      <c r="M43" s="23" t="n"/>
      <c r="O43" s="26" t="n"/>
      <c r="P43" s="22" t="n"/>
    </row>
    <row r="44">
      <c r="A44" s="22" t="n"/>
      <c r="C44" s="22" t="n"/>
      <c r="F44" s="26" t="n"/>
      <c r="G44" s="26" t="n"/>
      <c r="I44" s="22" t="n"/>
      <c r="J44" s="26" t="n"/>
      <c r="M44" s="23" t="n"/>
      <c r="O44" s="26" t="n"/>
      <c r="P44" s="22" t="n"/>
    </row>
    <row r="45">
      <c r="A45" s="22" t="n"/>
      <c r="C45" s="22" t="n"/>
      <c r="F45" s="26" t="n"/>
      <c r="G45" s="26" t="n"/>
      <c r="I45" s="22" t="n"/>
      <c r="J45" s="26" t="n"/>
      <c r="M45" s="23" t="n"/>
      <c r="O45" s="26" t="n"/>
      <c r="P45" s="22" t="n"/>
    </row>
    <row r="46">
      <c r="A46" s="22" t="n"/>
      <c r="C46" s="22" t="n"/>
      <c r="F46" s="26" t="n"/>
      <c r="G46" s="26" t="n"/>
      <c r="I46" s="22" t="n"/>
      <c r="J46" s="26" t="n"/>
      <c r="M46" s="23" t="n"/>
      <c r="O46" s="26" t="n"/>
      <c r="P46" s="22" t="n"/>
    </row>
    <row r="47">
      <c r="A47" s="22" t="n"/>
      <c r="C47" s="22" t="n"/>
      <c r="F47" s="26" t="n"/>
      <c r="G47" s="26" t="n"/>
      <c r="I47" s="22" t="n"/>
      <c r="J47" s="26" t="n"/>
      <c r="M47" s="23" t="n"/>
      <c r="O47" s="26" t="n"/>
      <c r="P47" s="22" t="n"/>
    </row>
    <row r="48">
      <c r="A48" s="22" t="n"/>
      <c r="C48" s="22" t="n"/>
      <c r="F48" s="26" t="n"/>
      <c r="G48" s="26" t="n"/>
      <c r="I48" s="22" t="n"/>
      <c r="J48" s="26" t="n"/>
      <c r="M48" s="23" t="n"/>
      <c r="O48" s="26" t="n"/>
      <c r="P48" s="22" t="n"/>
    </row>
    <row r="49">
      <c r="A49" s="22" t="n"/>
      <c r="C49" s="22" t="n"/>
      <c r="F49" s="26" t="n"/>
      <c r="G49" s="26" t="n"/>
      <c r="I49" s="22" t="n"/>
      <c r="J49" s="26" t="n"/>
      <c r="M49" s="23" t="n"/>
      <c r="O49" s="26" t="n"/>
      <c r="P49" s="22" t="n"/>
    </row>
    <row r="50">
      <c r="A50" s="22" t="n"/>
      <c r="C50" s="22" t="n"/>
      <c r="F50" s="26" t="n"/>
      <c r="G50" s="26" t="n"/>
      <c r="I50" s="22" t="n"/>
      <c r="J50" s="26" t="n"/>
      <c r="M50" s="23" t="n"/>
      <c r="O50" s="26" t="n"/>
      <c r="P50" s="22" t="n"/>
    </row>
    <row r="51">
      <c r="A51" s="22" t="n"/>
      <c r="C51" s="22" t="n"/>
      <c r="F51" s="26" t="n"/>
      <c r="G51" s="26" t="n"/>
      <c r="I51" s="22" t="n"/>
      <c r="J51" s="26" t="n"/>
      <c r="M51" s="23" t="n"/>
      <c r="O51" s="26" t="n"/>
      <c r="P51" s="22" t="n"/>
    </row>
    <row r="52">
      <c r="A52" s="22" t="n"/>
      <c r="C52" s="22" t="n"/>
      <c r="F52" s="26" t="n"/>
      <c r="G52" s="26" t="n"/>
      <c r="I52" s="22" t="n"/>
      <c r="J52" s="26" t="n"/>
      <c r="M52" s="23" t="n"/>
      <c r="O52" s="26" t="n"/>
      <c r="P52" s="22" t="n"/>
    </row>
    <row r="53">
      <c r="A53" s="22" t="n"/>
      <c r="C53" s="22" t="n"/>
      <c r="F53" s="26" t="n"/>
      <c r="G53" s="26" t="n"/>
      <c r="I53" s="22" t="n"/>
      <c r="J53" s="26" t="n"/>
      <c r="M53" s="23" t="n"/>
      <c r="O53" s="26" t="n"/>
      <c r="P53" s="22" t="n"/>
    </row>
    <row r="54">
      <c r="A54" s="22" t="n"/>
      <c r="C54" s="22" t="n"/>
      <c r="F54" s="26" t="n"/>
      <c r="G54" s="26" t="n"/>
      <c r="I54" s="22" t="n"/>
      <c r="J54" s="26" t="n"/>
      <c r="M54" s="23" t="n"/>
      <c r="O54" s="26" t="n"/>
      <c r="P54" s="22" t="n"/>
    </row>
    <row r="55">
      <c r="A55" s="22" t="n"/>
      <c r="C55" s="22" t="n"/>
      <c r="F55" s="26" t="n"/>
      <c r="G55" s="26" t="n"/>
      <c r="I55" s="22" t="n"/>
      <c r="J55" s="26" t="n"/>
      <c r="M55" s="23" t="n"/>
      <c r="O55" s="26" t="n"/>
      <c r="P55" s="22" t="n"/>
    </row>
    <row r="56">
      <c r="A56" s="22" t="n"/>
      <c r="C56" s="22" t="n"/>
      <c r="F56" s="26" t="n"/>
      <c r="G56" s="26" t="n"/>
      <c r="I56" s="22" t="n"/>
      <c r="J56" s="26" t="n"/>
      <c r="M56" s="23" t="n"/>
      <c r="O56" s="26" t="n"/>
      <c r="P56" s="22" t="n"/>
    </row>
    <row r="57">
      <c r="A57" s="22" t="n"/>
      <c r="C57" s="22" t="n"/>
      <c r="F57" s="26" t="n"/>
      <c r="G57" s="26" t="n"/>
      <c r="I57" s="22" t="n"/>
      <c r="J57" s="26" t="n"/>
      <c r="M57" s="23" t="n"/>
      <c r="O57" s="26" t="n"/>
      <c r="P57" s="22" t="n"/>
    </row>
    <row r="58">
      <c r="A58" s="22" t="n"/>
      <c r="C58" s="22" t="n"/>
      <c r="F58" s="26" t="n"/>
      <c r="G58" s="26" t="n"/>
      <c r="I58" s="22" t="n"/>
      <c r="J58" s="26" t="n"/>
      <c r="M58" s="23" t="n"/>
      <c r="O58" s="26" t="n"/>
      <c r="P58" s="22" t="n"/>
    </row>
    <row r="59">
      <c r="A59" s="22" t="n"/>
      <c r="C59" s="22" t="n"/>
      <c r="F59" s="26" t="n"/>
      <c r="G59" s="26" t="n"/>
      <c r="I59" s="22" t="n"/>
      <c r="J59" s="26" t="n"/>
      <c r="M59" s="23" t="n"/>
      <c r="O59" s="26" t="n"/>
      <c r="P59" s="22" t="n"/>
    </row>
    <row r="60">
      <c r="A60" s="22" t="n"/>
      <c r="C60" s="22" t="n"/>
      <c r="F60" s="26" t="n"/>
      <c r="G60" s="26" t="n"/>
      <c r="I60" s="22" t="n"/>
      <c r="J60" s="26" t="n"/>
      <c r="M60" s="23" t="n"/>
      <c r="O60" s="26" t="n"/>
      <c r="P60" s="22" t="n"/>
    </row>
    <row r="61">
      <c r="A61" s="22" t="n"/>
      <c r="C61" s="22" t="n"/>
      <c r="F61" s="26" t="n"/>
      <c r="G61" s="26" t="n"/>
      <c r="I61" s="22" t="n"/>
      <c r="J61" s="26" t="n"/>
      <c r="M61" s="23" t="n"/>
      <c r="O61" s="26" t="n"/>
      <c r="P61" s="22" t="n"/>
    </row>
    <row r="62">
      <c r="A62" s="22" t="n"/>
      <c r="C62" s="22" t="n"/>
      <c r="F62" s="26" t="n"/>
      <c r="G62" s="26" t="n"/>
      <c r="I62" s="22" t="n"/>
      <c r="J62" s="26" t="n"/>
      <c r="M62" s="23" t="n"/>
      <c r="O62" s="26" t="n"/>
      <c r="P62" s="22" t="n"/>
    </row>
    <row r="63">
      <c r="A63" s="22" t="n"/>
      <c r="C63" s="22" t="n"/>
      <c r="F63" s="26" t="n"/>
      <c r="G63" s="26" t="n"/>
      <c r="I63" s="22" t="n"/>
      <c r="J63" s="26" t="n"/>
      <c r="M63" s="23" t="n"/>
      <c r="O63" s="26" t="n"/>
      <c r="P63" s="22" t="n"/>
    </row>
    <row r="64">
      <c r="A64" s="22" t="n"/>
      <c r="C64" s="22" t="n"/>
      <c r="F64" s="26" t="n"/>
      <c r="G64" s="26" t="n"/>
      <c r="I64" s="22" t="n"/>
      <c r="J64" s="26" t="n"/>
      <c r="M64" s="23" t="n"/>
      <c r="O64" s="26" t="n"/>
      <c r="P64" s="22" t="n"/>
    </row>
    <row r="65">
      <c r="A65" s="22" t="n"/>
      <c r="C65" s="22" t="n"/>
      <c r="F65" s="26" t="n"/>
      <c r="G65" s="26" t="n"/>
      <c r="I65" s="22" t="n"/>
      <c r="J65" s="26" t="n"/>
      <c r="M65" s="23" t="n"/>
      <c r="O65" s="26" t="n"/>
      <c r="P65" s="22" t="n"/>
    </row>
    <row r="66">
      <c r="A66" s="22" t="n"/>
      <c r="C66" s="22" t="n"/>
      <c r="F66" s="26" t="n"/>
      <c r="G66" s="26" t="n"/>
      <c r="I66" s="22" t="n"/>
      <c r="J66" s="26" t="n"/>
      <c r="M66" s="23" t="n"/>
      <c r="O66" s="26" t="n"/>
      <c r="P66" s="22" t="n"/>
    </row>
    <row r="67">
      <c r="A67" s="22" t="n"/>
      <c r="C67" s="22" t="n"/>
      <c r="F67" s="26" t="n"/>
      <c r="G67" s="26" t="n"/>
      <c r="I67" s="22" t="n"/>
      <c r="J67" s="26" t="n"/>
      <c r="M67" s="23" t="n"/>
      <c r="O67" s="26" t="n"/>
      <c r="P67" s="22" t="n"/>
    </row>
    <row r="68">
      <c r="A68" s="22" t="n"/>
      <c r="C68" s="22" t="n"/>
      <c r="F68" s="26" t="n"/>
      <c r="G68" s="26" t="n"/>
      <c r="I68" s="22" t="n"/>
      <c r="J68" s="26" t="n"/>
      <c r="M68" s="23" t="n"/>
      <c r="O68" s="26" t="n"/>
      <c r="P68" s="22" t="n"/>
    </row>
    <row r="69">
      <c r="A69" s="22" t="n"/>
      <c r="C69" s="22" t="n"/>
      <c r="F69" s="26" t="n"/>
      <c r="G69" s="26" t="n"/>
      <c r="I69" s="22" t="n"/>
      <c r="J69" s="26" t="n"/>
      <c r="M69" s="23" t="n"/>
      <c r="O69" s="26" t="n"/>
      <c r="P69" s="22" t="n"/>
    </row>
    <row r="70">
      <c r="A70" s="22" t="n"/>
      <c r="C70" s="22" t="n"/>
      <c r="F70" s="26" t="n"/>
      <c r="G70" s="26" t="n"/>
      <c r="I70" s="22" t="n"/>
      <c r="J70" s="26" t="n"/>
      <c r="M70" s="23" t="n"/>
      <c r="O70" s="26" t="n"/>
      <c r="P70" s="22" t="n"/>
    </row>
    <row r="71">
      <c r="A71" s="22" t="n"/>
      <c r="C71" s="22" t="n"/>
      <c r="F71" s="26" t="n"/>
      <c r="G71" s="26" t="n"/>
      <c r="I71" s="22" t="n"/>
      <c r="J71" s="26" t="n"/>
      <c r="M71" s="23" t="n"/>
      <c r="O71" s="26" t="n"/>
      <c r="P71" s="22" t="n"/>
    </row>
    <row r="72">
      <c r="A72" s="22" t="n"/>
      <c r="C72" s="22" t="n"/>
      <c r="F72" s="26" t="n"/>
      <c r="G72" s="26" t="n"/>
      <c r="I72" s="22" t="n"/>
      <c r="J72" s="26" t="n"/>
      <c r="M72" s="23" t="n"/>
      <c r="O72" s="26" t="n"/>
      <c r="P72" s="22" t="n"/>
    </row>
    <row r="73">
      <c r="A73" s="22" t="n"/>
      <c r="C73" s="22" t="n"/>
      <c r="F73" s="26" t="n"/>
      <c r="G73" s="26" t="n"/>
      <c r="I73" s="22" t="n"/>
      <c r="J73" s="26" t="n"/>
      <c r="M73" s="23" t="n"/>
      <c r="O73" s="26" t="n"/>
      <c r="P73" s="22" t="n"/>
    </row>
    <row r="74">
      <c r="A74" s="22" t="n"/>
      <c r="C74" s="22" t="n"/>
      <c r="F74" s="26" t="n"/>
      <c r="G74" s="26" t="n"/>
      <c r="I74" s="22" t="n"/>
      <c r="J74" s="26" t="n"/>
      <c r="M74" s="23" t="n"/>
      <c r="O74" s="26" t="n"/>
      <c r="P74" s="22" t="n"/>
    </row>
    <row r="75">
      <c r="A75" s="22" t="n"/>
      <c r="C75" s="22" t="n"/>
      <c r="F75" s="26" t="n"/>
      <c r="G75" s="26" t="n"/>
      <c r="I75" s="22" t="n"/>
      <c r="J75" s="26" t="n"/>
      <c r="M75" s="23" t="n"/>
      <c r="O75" s="26" t="n"/>
      <c r="P75" s="22" t="n"/>
    </row>
    <row r="76">
      <c r="A76" s="22" t="n"/>
      <c r="C76" s="22" t="n"/>
      <c r="F76" s="26" t="n"/>
      <c r="G76" s="26" t="n"/>
      <c r="I76" s="22" t="n"/>
      <c r="J76" s="26" t="n"/>
      <c r="M76" s="23" t="n"/>
      <c r="O76" s="26" t="n"/>
      <c r="P76" s="22" t="n"/>
    </row>
    <row r="77">
      <c r="A77" s="22" t="n"/>
      <c r="C77" s="22" t="n"/>
      <c r="F77" s="26" t="n"/>
      <c r="G77" s="26" t="n"/>
      <c r="I77" s="22" t="n"/>
      <c r="J77" s="26" t="n"/>
      <c r="M77" s="23" t="n"/>
      <c r="O77" s="26" t="n"/>
      <c r="P77" s="22" t="n"/>
    </row>
    <row r="78">
      <c r="A78" s="22" t="n"/>
      <c r="C78" s="22" t="n"/>
      <c r="F78" s="26" t="n"/>
      <c r="G78" s="26" t="n"/>
      <c r="I78" s="22" t="n"/>
      <c r="J78" s="26" t="n"/>
      <c r="M78" s="23" t="n"/>
      <c r="O78" s="26" t="n"/>
      <c r="P78" s="22" t="n"/>
    </row>
    <row r="79">
      <c r="A79" s="22" t="n"/>
      <c r="C79" s="22" t="n"/>
      <c r="F79" s="26" t="n"/>
      <c r="G79" s="26" t="n"/>
      <c r="I79" s="22" t="n"/>
      <c r="J79" s="26" t="n"/>
      <c r="M79" s="23" t="n"/>
      <c r="O79" s="26" t="n"/>
      <c r="P79" s="22" t="n"/>
    </row>
    <row r="80">
      <c r="A80" s="22" t="n"/>
      <c r="C80" s="22" t="n"/>
      <c r="F80" s="26" t="n"/>
      <c r="G80" s="26" t="n"/>
      <c r="I80" s="22" t="n"/>
      <c r="J80" s="26" t="n"/>
      <c r="M80" s="23" t="n"/>
      <c r="O80" s="26" t="n"/>
      <c r="P80" s="22" t="n"/>
    </row>
    <row r="81">
      <c r="A81" s="22" t="n"/>
      <c r="C81" s="22" t="n"/>
      <c r="F81" s="26" t="n"/>
      <c r="G81" s="26" t="n"/>
      <c r="I81" s="22" t="n"/>
      <c r="J81" s="26" t="n"/>
      <c r="M81" s="23" t="n"/>
      <c r="O81" s="26" t="n"/>
      <c r="P81" s="22" t="n"/>
    </row>
    <row r="82">
      <c r="A82" s="22" t="n"/>
      <c r="C82" s="22" t="n"/>
      <c r="F82" s="26" t="n"/>
      <c r="G82" s="26" t="n"/>
      <c r="I82" s="22" t="n"/>
      <c r="J82" s="26" t="n"/>
      <c r="M82" s="23" t="n"/>
      <c r="O82" s="26" t="n"/>
      <c r="P82" s="22" t="n"/>
    </row>
    <row r="83">
      <c r="A83" s="22" t="n"/>
      <c r="C83" s="22" t="n"/>
      <c r="F83" s="26" t="n"/>
      <c r="G83" s="26" t="n"/>
      <c r="I83" s="22" t="n"/>
      <c r="J83" s="26" t="n"/>
      <c r="M83" s="23" t="n"/>
      <c r="O83" s="26" t="n"/>
      <c r="P83" s="22" t="n"/>
    </row>
    <row r="84">
      <c r="A84" s="22" t="n"/>
      <c r="C84" s="22" t="n"/>
      <c r="F84" s="26" t="n"/>
      <c r="G84" s="26" t="n"/>
      <c r="I84" s="22" t="n"/>
      <c r="J84" s="26" t="n"/>
      <c r="M84" s="23" t="n"/>
      <c r="O84" s="26" t="n"/>
      <c r="P84" s="22" t="n"/>
    </row>
    <row r="85">
      <c r="A85" s="22" t="n"/>
      <c r="C85" s="22" t="n"/>
      <c r="F85" s="26" t="n"/>
      <c r="G85" s="26" t="n"/>
      <c r="I85" s="22" t="n"/>
      <c r="J85" s="26" t="n"/>
      <c r="M85" s="23" t="n"/>
      <c r="O85" s="26" t="n"/>
      <c r="P85" s="22" t="n"/>
    </row>
    <row r="86">
      <c r="A86" s="22" t="n"/>
      <c r="C86" s="22" t="n"/>
      <c r="F86" s="26" t="n"/>
      <c r="G86" s="26" t="n"/>
      <c r="I86" s="22" t="n"/>
      <c r="J86" s="26" t="n"/>
      <c r="M86" s="23" t="n"/>
      <c r="O86" s="26" t="n"/>
      <c r="P86" s="22" t="n"/>
    </row>
    <row r="87">
      <c r="A87" s="22" t="n"/>
      <c r="C87" s="22" t="n"/>
      <c r="F87" s="26" t="n"/>
      <c r="G87" s="26" t="n"/>
      <c r="I87" s="22" t="n"/>
      <c r="J87" s="26" t="n"/>
      <c r="M87" s="23" t="n"/>
      <c r="O87" s="26" t="n"/>
      <c r="P87" s="22" t="n"/>
    </row>
    <row r="88">
      <c r="A88" s="22" t="n"/>
      <c r="C88" s="22" t="n"/>
      <c r="F88" s="26" t="n"/>
      <c r="G88" s="26" t="n"/>
      <c r="I88" s="22" t="n"/>
      <c r="J88" s="26" t="n"/>
      <c r="M88" s="23" t="n"/>
      <c r="O88" s="26" t="n"/>
      <c r="P88" s="22" t="n"/>
    </row>
    <row r="89">
      <c r="A89" s="22" t="n"/>
      <c r="C89" s="22" t="n"/>
      <c r="F89" s="26" t="n"/>
      <c r="G89" s="26" t="n"/>
      <c r="I89" s="22" t="n"/>
      <c r="J89" s="26" t="n"/>
      <c r="M89" s="23" t="n"/>
      <c r="O89" s="26" t="n"/>
      <c r="P89" s="22" t="n"/>
    </row>
    <row r="90">
      <c r="A90" s="22" t="n"/>
      <c r="C90" s="22" t="n"/>
      <c r="F90" s="26" t="n"/>
      <c r="G90" s="26" t="n"/>
      <c r="I90" s="22" t="n"/>
      <c r="J90" s="26" t="n"/>
      <c r="M90" s="23" t="n"/>
      <c r="O90" s="26" t="n"/>
      <c r="P90" s="22" t="n"/>
    </row>
    <row r="91">
      <c r="A91" s="22" t="n"/>
      <c r="C91" s="22" t="n"/>
      <c r="F91" s="26" t="n"/>
      <c r="G91" s="26" t="n"/>
      <c r="I91" s="22" t="n"/>
      <c r="J91" s="26" t="n"/>
      <c r="M91" s="23" t="n"/>
      <c r="O91" s="26" t="n"/>
      <c r="P91" s="22" t="n"/>
    </row>
    <row r="92">
      <c r="A92" s="22" t="n"/>
      <c r="C92" s="22" t="n"/>
      <c r="F92" s="26" t="n"/>
      <c r="G92" s="26" t="n"/>
      <c r="I92" s="22" t="n"/>
      <c r="J92" s="26" t="n"/>
      <c r="M92" s="23" t="n"/>
      <c r="O92" s="26" t="n"/>
      <c r="P92" s="22" t="n"/>
    </row>
    <row r="93">
      <c r="A93" s="22" t="n"/>
      <c r="C93" s="22" t="n"/>
      <c r="F93" s="26" t="n"/>
      <c r="G93" s="26" t="n"/>
      <c r="I93" s="22" t="n"/>
      <c r="J93" s="26" t="n"/>
      <c r="M93" s="23" t="n"/>
      <c r="O93" s="26" t="n"/>
      <c r="P93" s="22" t="n"/>
    </row>
    <row r="94">
      <c r="A94" s="22" t="n"/>
      <c r="C94" s="22" t="n"/>
      <c r="F94" s="26" t="n"/>
      <c r="G94" s="26" t="n"/>
      <c r="I94" s="22" t="n"/>
      <c r="J94" s="26" t="n"/>
      <c r="M94" s="23" t="n"/>
      <c r="O94" s="26" t="n"/>
      <c r="P94" s="22" t="n"/>
    </row>
    <row r="95">
      <c r="A95" s="22" t="n"/>
      <c r="C95" s="22" t="n"/>
      <c r="F95" s="26" t="n"/>
      <c r="G95" s="26" t="n"/>
      <c r="I95" s="22" t="n"/>
      <c r="J95" s="26" t="n"/>
      <c r="M95" s="23" t="n"/>
      <c r="O95" s="26" t="n"/>
      <c r="P95" s="22" t="n"/>
    </row>
    <row r="96">
      <c r="A96" s="22" t="n"/>
      <c r="C96" s="22" t="n"/>
      <c r="F96" s="26" t="n"/>
      <c r="G96" s="26" t="n"/>
      <c r="I96" s="22" t="n"/>
      <c r="J96" s="26" t="n"/>
      <c r="M96" s="23" t="n"/>
      <c r="O96" s="26" t="n"/>
      <c r="P96" s="22" t="n"/>
    </row>
    <row r="97">
      <c r="A97" s="22" t="n"/>
      <c r="C97" s="22" t="n"/>
      <c r="F97" s="26" t="n"/>
      <c r="G97" s="26" t="n"/>
      <c r="I97" s="22" t="n"/>
      <c r="J97" s="26" t="n"/>
      <c r="M97" s="23" t="n"/>
      <c r="O97" s="26" t="n"/>
      <c r="P97" s="22" t="n"/>
    </row>
    <row r="98">
      <c r="A98" s="22" t="n"/>
      <c r="C98" s="22" t="n"/>
      <c r="F98" s="26" t="n"/>
      <c r="G98" s="26" t="n"/>
      <c r="I98" s="22" t="n"/>
      <c r="J98" s="26" t="n"/>
      <c r="M98" s="23" t="n"/>
      <c r="O98" s="26" t="n"/>
      <c r="P98" s="22" t="n"/>
    </row>
    <row r="99">
      <c r="A99" s="22" t="n"/>
      <c r="C99" s="22" t="n"/>
      <c r="F99" s="26" t="n"/>
      <c r="G99" s="26" t="n"/>
      <c r="I99" s="22" t="n"/>
      <c r="J99" s="26" t="n"/>
      <c r="M99" s="23" t="n"/>
      <c r="O99" s="26" t="n"/>
      <c r="P99" s="22" t="n"/>
    </row>
    <row r="100">
      <c r="A100" s="22" t="n"/>
      <c r="C100" s="22" t="n"/>
      <c r="F100" s="26" t="n"/>
      <c r="G100" s="26" t="n"/>
      <c r="I100" s="22" t="n"/>
      <c r="J100" s="26" t="n"/>
      <c r="M100" s="23" t="n"/>
      <c r="O100" s="26" t="n"/>
      <c r="P100" s="22" t="n"/>
    </row>
    <row r="101">
      <c r="A101" s="22" t="n"/>
      <c r="C101" s="22" t="n"/>
      <c r="F101" s="26" t="n"/>
      <c r="G101" s="26" t="n"/>
      <c r="I101" s="22" t="n"/>
      <c r="J101" s="26" t="n"/>
      <c r="M101" s="23" t="n"/>
      <c r="O101" s="26" t="n"/>
      <c r="P101" s="22" t="n"/>
    </row>
    <row r="102">
      <c r="A102" s="22" t="n"/>
      <c r="C102" s="22" t="n"/>
      <c r="F102" s="26" t="n"/>
      <c r="G102" s="26" t="n"/>
      <c r="I102" s="22" t="n"/>
      <c r="J102" s="26" t="n"/>
      <c r="M102" s="23" t="n"/>
      <c r="O102" s="26" t="n"/>
      <c r="P102" s="22" t="n"/>
    </row>
    <row r="103">
      <c r="A103" s="22" t="n"/>
      <c r="C103" s="22" t="n"/>
      <c r="F103" s="26" t="n"/>
      <c r="G103" s="26" t="n"/>
      <c r="I103" s="22" t="n"/>
      <c r="J103" s="26" t="n"/>
      <c r="M103" s="23" t="n"/>
      <c r="O103" s="26" t="n"/>
      <c r="P103" s="22" t="n"/>
    </row>
    <row r="104">
      <c r="A104" s="22" t="n"/>
      <c r="C104" s="22" t="n"/>
      <c r="F104" s="26" t="n"/>
      <c r="G104" s="26" t="n"/>
      <c r="I104" s="22" t="n"/>
      <c r="J104" s="26" t="n"/>
      <c r="M104" s="23" t="n"/>
      <c r="O104" s="26" t="n"/>
      <c r="P104" s="22" t="n"/>
    </row>
    <row r="105">
      <c r="A105" s="22" t="n"/>
      <c r="C105" s="22" t="n"/>
      <c r="F105" s="26" t="n"/>
      <c r="G105" s="26" t="n"/>
      <c r="I105" s="22" t="n"/>
      <c r="J105" s="26" t="n"/>
      <c r="M105" s="23" t="n"/>
      <c r="O105" s="26" t="n"/>
      <c r="P105" s="22" t="n"/>
    </row>
    <row r="106">
      <c r="A106" s="22" t="n"/>
      <c r="C106" s="22" t="n"/>
      <c r="F106" s="26" t="n"/>
      <c r="G106" s="26" t="n"/>
      <c r="I106" s="22" t="n"/>
      <c r="J106" s="26" t="n"/>
      <c r="M106" s="23" t="n"/>
      <c r="O106" s="26" t="n"/>
      <c r="P106" s="22" t="n"/>
    </row>
    <row r="107">
      <c r="A107" s="22" t="n"/>
      <c r="C107" s="22" t="n"/>
      <c r="F107" s="26" t="n"/>
      <c r="G107" s="26" t="n"/>
      <c r="I107" s="22" t="n"/>
      <c r="J107" s="26" t="n"/>
      <c r="M107" s="23" t="n"/>
      <c r="O107" s="26" t="n"/>
      <c r="P107" s="22" t="n"/>
    </row>
    <row r="108">
      <c r="A108" s="22" t="n"/>
      <c r="C108" s="22" t="n"/>
      <c r="F108" s="26" t="n"/>
      <c r="G108" s="26" t="n"/>
      <c r="I108" s="22" t="n"/>
      <c r="J108" s="26" t="n"/>
      <c r="M108" s="23" t="n"/>
      <c r="O108" s="26" t="n"/>
      <c r="P108" s="22" t="n"/>
    </row>
    <row r="109">
      <c r="A109" s="22" t="n"/>
      <c r="C109" s="22" t="n"/>
      <c r="F109" s="26" t="n"/>
      <c r="G109" s="26" t="n"/>
      <c r="I109" s="22" t="n"/>
      <c r="J109" s="26" t="n"/>
      <c r="M109" s="23" t="n"/>
      <c r="O109" s="26" t="n"/>
      <c r="P109" s="22" t="n"/>
    </row>
    <row r="110">
      <c r="A110" s="22" t="n"/>
      <c r="C110" s="22" t="n"/>
      <c r="F110" s="26" t="n"/>
      <c r="G110" s="26" t="n"/>
      <c r="I110" s="22" t="n"/>
      <c r="J110" s="26" t="n"/>
      <c r="M110" s="23" t="n"/>
      <c r="O110" s="26" t="n"/>
      <c r="P110" s="22" t="n"/>
    </row>
    <row r="111">
      <c r="A111" s="22" t="n"/>
      <c r="C111" s="22" t="n"/>
      <c r="F111" s="26" t="n"/>
      <c r="G111" s="26" t="n"/>
      <c r="I111" s="22" t="n"/>
      <c r="J111" s="26" t="n"/>
      <c r="M111" s="23" t="n"/>
      <c r="O111" s="26" t="n"/>
      <c r="P111" s="22" t="n"/>
    </row>
    <row r="112">
      <c r="A112" s="22" t="n"/>
      <c r="C112" s="22" t="n"/>
      <c r="F112" s="26" t="n"/>
      <c r="G112" s="26" t="n"/>
      <c r="I112" s="22" t="n"/>
      <c r="J112" s="26" t="n"/>
      <c r="M112" s="23" t="n"/>
      <c r="O112" s="26" t="n"/>
      <c r="P112" s="22" t="n"/>
    </row>
    <row r="113">
      <c r="A113" s="22" t="n"/>
      <c r="C113" s="22" t="n"/>
      <c r="F113" s="26" t="n"/>
      <c r="G113" s="26" t="n"/>
      <c r="I113" s="22" t="n"/>
      <c r="J113" s="26" t="n"/>
      <c r="M113" s="23" t="n"/>
      <c r="O113" s="26" t="n"/>
      <c r="P113" s="22" t="n"/>
    </row>
    <row r="114">
      <c r="A114" s="22" t="n"/>
      <c r="C114" s="22" t="n"/>
      <c r="F114" s="26" t="n"/>
      <c r="G114" s="26" t="n"/>
      <c r="I114" s="22" t="n"/>
      <c r="J114" s="26" t="n"/>
      <c r="M114" s="23" t="n"/>
      <c r="O114" s="26" t="n"/>
      <c r="P114" s="22" t="n"/>
    </row>
    <row r="115">
      <c r="A115" s="22" t="n"/>
      <c r="C115" s="22" t="n"/>
      <c r="F115" s="26" t="n"/>
      <c r="G115" s="26" t="n"/>
      <c r="I115" s="22" t="n"/>
      <c r="J115" s="26" t="n"/>
      <c r="M115" s="23" t="n"/>
      <c r="O115" s="26" t="n"/>
      <c r="P115" s="22" t="n"/>
    </row>
    <row r="116">
      <c r="A116" s="22" t="n"/>
      <c r="C116" s="22" t="n"/>
      <c r="F116" s="26" t="n"/>
      <c r="G116" s="26" t="n"/>
      <c r="I116" s="22" t="n"/>
      <c r="J116" s="26" t="n"/>
      <c r="M116" s="23" t="n"/>
      <c r="O116" s="26" t="n"/>
      <c r="P116" s="22" t="n"/>
    </row>
    <row r="117">
      <c r="A117" s="22" t="n"/>
      <c r="C117" s="22" t="n"/>
      <c r="F117" s="26" t="n"/>
      <c r="G117" s="26" t="n"/>
      <c r="I117" s="22" t="n"/>
      <c r="J117" s="26" t="n"/>
      <c r="M117" s="23" t="n"/>
      <c r="O117" s="26" t="n"/>
      <c r="P117" s="22" t="n"/>
    </row>
    <row r="118">
      <c r="A118" s="22" t="n"/>
      <c r="C118" s="22" t="n"/>
      <c r="F118" s="26" t="n"/>
      <c r="G118" s="26" t="n"/>
      <c r="I118" s="22" t="n"/>
      <c r="J118" s="26" t="n"/>
      <c r="M118" s="23" t="n"/>
      <c r="O118" s="26" t="n"/>
      <c r="P118" s="22" t="n"/>
    </row>
    <row r="119">
      <c r="A119" s="22" t="n"/>
      <c r="C119" s="22" t="n"/>
      <c r="F119" s="26" t="n"/>
      <c r="G119" s="26" t="n"/>
      <c r="I119" s="22" t="n"/>
      <c r="J119" s="26" t="n"/>
      <c r="M119" s="23" t="n"/>
      <c r="O119" s="26" t="n"/>
      <c r="P119" s="22" t="n"/>
    </row>
    <row r="120">
      <c r="A120" s="22" t="n"/>
      <c r="C120" s="22" t="n"/>
      <c r="F120" s="26" t="n"/>
      <c r="G120" s="26" t="n"/>
      <c r="I120" s="22" t="n"/>
      <c r="J120" s="26" t="n"/>
      <c r="M120" s="23" t="n"/>
      <c r="O120" s="26" t="n"/>
      <c r="P120" s="22" t="n"/>
    </row>
    <row r="121">
      <c r="A121" s="22" t="n"/>
      <c r="C121" s="22" t="n"/>
      <c r="F121" s="26" t="n"/>
      <c r="G121" s="26" t="n"/>
      <c r="I121" s="22" t="n"/>
      <c r="J121" s="26" t="n"/>
      <c r="M121" s="23" t="n"/>
      <c r="O121" s="26" t="n"/>
      <c r="P121" s="22" t="n"/>
    </row>
    <row r="122">
      <c r="A122" s="22" t="n"/>
      <c r="C122" s="22" t="n"/>
      <c r="F122" s="26" t="n"/>
      <c r="G122" s="26" t="n"/>
      <c r="I122" s="22" t="n"/>
      <c r="J122" s="26" t="n"/>
      <c r="M122" s="23" t="n"/>
      <c r="O122" s="26" t="n"/>
      <c r="P122" s="22" t="n"/>
    </row>
    <row r="123">
      <c r="A123" s="22" t="n"/>
      <c r="C123" s="22" t="n"/>
      <c r="F123" s="26" t="n"/>
      <c r="G123" s="26" t="n"/>
      <c r="I123" s="22" t="n"/>
      <c r="J123" s="26" t="n"/>
      <c r="M123" s="23" t="n"/>
      <c r="O123" s="26" t="n"/>
      <c r="P123" s="22" t="n"/>
    </row>
    <row r="124">
      <c r="A124" s="22" t="n"/>
      <c r="C124" s="22" t="n"/>
      <c r="F124" s="26" t="n"/>
      <c r="G124" s="26" t="n"/>
      <c r="I124" s="22" t="n"/>
      <c r="J124" s="26" t="n"/>
      <c r="M124" s="23" t="n"/>
      <c r="O124" s="26" t="n"/>
      <c r="P124" s="22" t="n"/>
    </row>
    <row r="125">
      <c r="A125" s="22" t="n"/>
      <c r="C125" s="22" t="n"/>
      <c r="F125" s="26" t="n"/>
      <c r="G125" s="26" t="n"/>
      <c r="I125" s="22" t="n"/>
      <c r="J125" s="26" t="n"/>
      <c r="M125" s="23" t="n"/>
      <c r="O125" s="26" t="n"/>
      <c r="P125" s="22" t="n"/>
    </row>
    <row r="126">
      <c r="A126" s="22" t="n"/>
      <c r="C126" s="22" t="n"/>
      <c r="F126" s="26" t="n"/>
      <c r="G126" s="26" t="n"/>
      <c r="I126" s="22" t="n"/>
      <c r="J126" s="26" t="n"/>
      <c r="M126" s="23" t="n"/>
      <c r="O126" s="26" t="n"/>
      <c r="P126" s="22" t="n"/>
    </row>
    <row r="127">
      <c r="A127" s="22" t="n"/>
      <c r="C127" s="22" t="n"/>
      <c r="F127" s="26" t="n"/>
      <c r="G127" s="26" t="n"/>
      <c r="I127" s="22" t="n"/>
      <c r="J127" s="26" t="n"/>
      <c r="M127" s="23" t="n"/>
      <c r="O127" s="26" t="n"/>
      <c r="P127" s="22" t="n"/>
    </row>
    <row r="128">
      <c r="A128" s="22" t="n"/>
      <c r="C128" s="22" t="n"/>
      <c r="F128" s="26" t="n"/>
      <c r="G128" s="26" t="n"/>
      <c r="I128" s="22" t="n"/>
      <c r="J128" s="26" t="n"/>
      <c r="M128" s="23" t="n"/>
      <c r="O128" s="26" t="n"/>
      <c r="P128" s="22" t="n"/>
    </row>
    <row r="129">
      <c r="A129" s="22" t="n"/>
      <c r="C129" s="22" t="n"/>
      <c r="F129" s="26" t="n"/>
      <c r="G129" s="26" t="n"/>
      <c r="I129" s="22" t="n"/>
      <c r="J129" s="26" t="n"/>
      <c r="M129" s="23" t="n"/>
      <c r="O129" s="26" t="n"/>
      <c r="P129" s="22" t="n"/>
    </row>
    <row r="130">
      <c r="A130" s="22" t="n"/>
      <c r="C130" s="22" t="n"/>
      <c r="F130" s="26" t="n"/>
      <c r="G130" s="26" t="n"/>
      <c r="I130" s="22" t="n"/>
      <c r="J130" s="26" t="n"/>
      <c r="M130" s="23" t="n"/>
      <c r="O130" s="26" t="n"/>
      <c r="P130" s="22" t="n"/>
    </row>
    <row r="131">
      <c r="A131" s="22" t="n"/>
      <c r="C131" s="22" t="n"/>
      <c r="F131" s="26" t="n"/>
      <c r="G131" s="26" t="n"/>
      <c r="I131" s="22" t="n"/>
      <c r="J131" s="26" t="n"/>
      <c r="M131" s="23" t="n"/>
      <c r="O131" s="26" t="n"/>
      <c r="P131" s="22" t="n"/>
    </row>
    <row r="132">
      <c r="A132" s="22" t="n"/>
      <c r="C132" s="22" t="n"/>
      <c r="F132" s="26" t="n"/>
      <c r="G132" s="26" t="n"/>
      <c r="I132" s="22" t="n"/>
      <c r="J132" s="26" t="n"/>
      <c r="M132" s="23" t="n"/>
      <c r="O132" s="26" t="n"/>
      <c r="P132" s="22" t="n"/>
    </row>
    <row r="133">
      <c r="A133" s="22" t="n"/>
      <c r="C133" s="22" t="n"/>
      <c r="F133" s="26" t="n"/>
      <c r="G133" s="26" t="n"/>
      <c r="I133" s="22" t="n"/>
      <c r="J133" s="26" t="n"/>
      <c r="M133" s="23" t="n"/>
      <c r="O133" s="26" t="n"/>
      <c r="P133" s="22" t="n"/>
    </row>
    <row r="134">
      <c r="A134" s="22" t="n"/>
      <c r="C134" s="22" t="n"/>
      <c r="F134" s="26" t="n"/>
      <c r="G134" s="26" t="n"/>
      <c r="I134" s="22" t="n"/>
      <c r="J134" s="26" t="n"/>
      <c r="M134" s="23" t="n"/>
      <c r="O134" s="26" t="n"/>
      <c r="P134" s="22" t="n"/>
    </row>
    <row r="135">
      <c r="A135" s="22" t="n"/>
      <c r="C135" s="22" t="n"/>
      <c r="F135" s="26" t="n"/>
      <c r="G135" s="26" t="n"/>
      <c r="I135" s="22" t="n"/>
      <c r="J135" s="26" t="n"/>
      <c r="M135" s="23" t="n"/>
      <c r="O135" s="26" t="n"/>
      <c r="P135" s="22" t="n"/>
    </row>
    <row r="136">
      <c r="A136" s="22" t="n"/>
      <c r="C136" s="22" t="n"/>
      <c r="F136" s="26" t="n"/>
      <c r="G136" s="26" t="n"/>
      <c r="I136" s="22" t="n"/>
      <c r="J136" s="26" t="n"/>
      <c r="M136" s="23" t="n"/>
      <c r="O136" s="26" t="n"/>
      <c r="P136" s="22" t="n"/>
    </row>
    <row r="137">
      <c r="A137" s="22" t="n"/>
      <c r="C137" s="22" t="n"/>
      <c r="F137" s="26" t="n"/>
      <c r="G137" s="26" t="n"/>
      <c r="I137" s="22" t="n"/>
      <c r="J137" s="26" t="n"/>
      <c r="M137" s="23" t="n"/>
      <c r="O137" s="26" t="n"/>
      <c r="P137" s="22" t="n"/>
    </row>
    <row r="138">
      <c r="A138" s="22" t="n"/>
      <c r="C138" s="22" t="n"/>
      <c r="F138" s="26" t="n"/>
      <c r="G138" s="26" t="n"/>
      <c r="I138" s="22" t="n"/>
      <c r="J138" s="26" t="n"/>
      <c r="M138" s="23" t="n"/>
      <c r="O138" s="26" t="n"/>
      <c r="P138" s="22" t="n"/>
    </row>
    <row r="139">
      <c r="A139" s="22" t="n"/>
      <c r="C139" s="22" t="n"/>
      <c r="F139" s="26" t="n"/>
      <c r="G139" s="26" t="n"/>
      <c r="I139" s="22" t="n"/>
      <c r="J139" s="26" t="n"/>
      <c r="M139" s="23" t="n"/>
      <c r="O139" s="26" t="n"/>
      <c r="P139" s="22" t="n"/>
    </row>
    <row r="140">
      <c r="A140" s="22" t="n"/>
      <c r="C140" s="22" t="n"/>
      <c r="F140" s="26" t="n"/>
      <c r="G140" s="26" t="n"/>
      <c r="I140" s="22" t="n"/>
      <c r="J140" s="26" t="n"/>
      <c r="M140" s="23" t="n"/>
      <c r="O140" s="26" t="n"/>
      <c r="P140" s="22" t="n"/>
    </row>
    <row r="141">
      <c r="A141" s="22" t="n"/>
      <c r="C141" s="22" t="n"/>
      <c r="F141" s="26" t="n"/>
      <c r="G141" s="26" t="n"/>
      <c r="I141" s="22" t="n"/>
      <c r="J141" s="26" t="n"/>
      <c r="M141" s="23" t="n"/>
      <c r="O141" s="26" t="n"/>
      <c r="P141" s="22" t="n"/>
    </row>
    <row r="142">
      <c r="A142" s="22" t="n"/>
      <c r="C142" s="22" t="n"/>
      <c r="F142" s="26" t="n"/>
      <c r="G142" s="26" t="n"/>
      <c r="I142" s="22" t="n"/>
      <c r="J142" s="26" t="n"/>
      <c r="M142" s="23" t="n"/>
      <c r="O142" s="26" t="n"/>
      <c r="P142" s="22" t="n"/>
    </row>
    <row r="143">
      <c r="A143" s="22" t="n"/>
      <c r="C143" s="22" t="n"/>
      <c r="F143" s="26" t="n"/>
      <c r="G143" s="26" t="n"/>
      <c r="I143" s="22" t="n"/>
      <c r="J143" s="26" t="n"/>
      <c r="M143" s="23" t="n"/>
      <c r="O143" s="26" t="n"/>
      <c r="P143" s="22" t="n"/>
    </row>
    <row r="144">
      <c r="A144" s="22" t="n"/>
      <c r="C144" s="22" t="n"/>
      <c r="F144" s="26" t="n"/>
      <c r="G144" s="26" t="n"/>
      <c r="I144" s="22" t="n"/>
      <c r="J144" s="26" t="n"/>
      <c r="M144" s="23" t="n"/>
      <c r="O144" s="26" t="n"/>
      <c r="P144" s="22" t="n"/>
    </row>
    <row r="145">
      <c r="A145" s="22" t="n"/>
      <c r="C145" s="22" t="n"/>
      <c r="F145" s="26" t="n"/>
      <c r="G145" s="26" t="n"/>
      <c r="I145" s="22" t="n"/>
      <c r="J145" s="26" t="n"/>
      <c r="M145" s="23" t="n"/>
      <c r="O145" s="26" t="n"/>
      <c r="P145" s="22" t="n"/>
    </row>
    <row r="146">
      <c r="A146" s="22" t="n"/>
      <c r="C146" s="22" t="n"/>
      <c r="F146" s="26" t="n"/>
      <c r="G146" s="26" t="n"/>
      <c r="I146" s="22" t="n"/>
      <c r="J146" s="26" t="n"/>
      <c r="M146" s="23" t="n"/>
      <c r="O146" s="26" t="n"/>
      <c r="P146" s="22" t="n"/>
    </row>
    <row r="147">
      <c r="A147" s="22" t="n"/>
      <c r="C147" s="22" t="n"/>
      <c r="F147" s="26" t="n"/>
      <c r="G147" s="26" t="n"/>
      <c r="I147" s="22" t="n"/>
      <c r="J147" s="26" t="n"/>
      <c r="M147" s="23" t="n"/>
      <c r="O147" s="26" t="n"/>
      <c r="P147" s="22" t="n"/>
    </row>
    <row r="148">
      <c r="A148" s="22" t="n"/>
      <c r="C148" s="22" t="n"/>
      <c r="F148" s="26" t="n"/>
      <c r="G148" s="26" t="n"/>
      <c r="I148" s="22" t="n"/>
      <c r="J148" s="26" t="n"/>
      <c r="M148" s="23" t="n"/>
      <c r="O148" s="26" t="n"/>
      <c r="P148" s="22" t="n"/>
    </row>
    <row r="149">
      <c r="A149" s="22" t="n"/>
      <c r="C149" s="22" t="n"/>
      <c r="F149" s="26" t="n"/>
      <c r="G149" s="26" t="n"/>
      <c r="I149" s="22" t="n"/>
      <c r="J149" s="26" t="n"/>
      <c r="M149" s="23" t="n"/>
      <c r="O149" s="26" t="n"/>
      <c r="P149" s="22" t="n"/>
    </row>
    <row r="150">
      <c r="A150" s="22" t="n"/>
      <c r="C150" s="22" t="n"/>
      <c r="F150" s="26" t="n"/>
      <c r="G150" s="26" t="n"/>
      <c r="I150" s="22" t="n"/>
      <c r="J150" s="26" t="n"/>
      <c r="M150" s="23" t="n"/>
      <c r="O150" s="26" t="n"/>
      <c r="P150" s="22" t="n"/>
    </row>
    <row r="151">
      <c r="A151" s="22" t="n"/>
      <c r="C151" s="22" t="n"/>
      <c r="F151" s="26" t="n"/>
      <c r="G151" s="26" t="n"/>
      <c r="I151" s="22" t="n"/>
      <c r="J151" s="26" t="n"/>
      <c r="M151" s="23" t="n"/>
      <c r="O151" s="26" t="n"/>
      <c r="P151" s="22" t="n"/>
    </row>
    <row r="152">
      <c r="A152" s="22" t="n"/>
      <c r="C152" s="22" t="n"/>
      <c r="F152" s="26" t="n"/>
      <c r="G152" s="26" t="n"/>
      <c r="I152" s="22" t="n"/>
      <c r="J152" s="26" t="n"/>
      <c r="M152" s="23" t="n"/>
      <c r="O152" s="26" t="n"/>
      <c r="P152" s="22" t="n"/>
    </row>
    <row r="153">
      <c r="A153" s="22" t="n"/>
      <c r="C153" s="22" t="n"/>
      <c r="F153" s="26" t="n"/>
      <c r="G153" s="26" t="n"/>
      <c r="I153" s="22" t="n"/>
      <c r="J153" s="26" t="n"/>
      <c r="M153" s="23" t="n"/>
      <c r="O153" s="26" t="n"/>
      <c r="P153" s="22" t="n"/>
    </row>
    <row r="154">
      <c r="A154" s="22" t="n"/>
      <c r="C154" s="22" t="n"/>
      <c r="F154" s="26" t="n"/>
      <c r="G154" s="26" t="n"/>
      <c r="I154" s="22" t="n"/>
      <c r="J154" s="26" t="n"/>
      <c r="M154" s="23" t="n"/>
      <c r="O154" s="26" t="n"/>
      <c r="P154" s="22" t="n"/>
    </row>
    <row r="155">
      <c r="A155" s="22" t="n"/>
      <c r="C155" s="22" t="n"/>
      <c r="F155" s="26" t="n"/>
      <c r="G155" s="26" t="n"/>
      <c r="I155" s="22" t="n"/>
      <c r="J155" s="26" t="n"/>
      <c r="M155" s="23" t="n"/>
      <c r="O155" s="26" t="n"/>
      <c r="P155" s="22" t="n"/>
    </row>
    <row r="156">
      <c r="A156" s="22" t="n"/>
      <c r="C156" s="22" t="n"/>
      <c r="F156" s="26" t="n"/>
      <c r="G156" s="26" t="n"/>
      <c r="I156" s="22" t="n"/>
      <c r="J156" s="26" t="n"/>
      <c r="M156" s="23" t="n"/>
      <c r="O156" s="26" t="n"/>
      <c r="P156" s="22" t="n"/>
    </row>
    <row r="157">
      <c r="A157" s="22" t="n"/>
      <c r="C157" s="22" t="n"/>
      <c r="F157" s="26" t="n"/>
      <c r="G157" s="26" t="n"/>
      <c r="I157" s="22" t="n"/>
      <c r="J157" s="26" t="n"/>
      <c r="M157" s="23" t="n"/>
      <c r="O157" s="26" t="n"/>
      <c r="P157" s="22" t="n"/>
    </row>
    <row r="158">
      <c r="A158" s="22" t="n"/>
      <c r="C158" s="22" t="n"/>
      <c r="F158" s="26" t="n"/>
      <c r="G158" s="26" t="n"/>
      <c r="I158" s="22" t="n"/>
      <c r="J158" s="26" t="n"/>
      <c r="M158" s="23" t="n"/>
      <c r="O158" s="26" t="n"/>
      <c r="P158" s="22" t="n"/>
    </row>
    <row r="159">
      <c r="A159" s="22" t="n"/>
      <c r="C159" s="22" t="n"/>
      <c r="F159" s="26" t="n"/>
      <c r="G159" s="26" t="n"/>
      <c r="I159" s="22" t="n"/>
      <c r="J159" s="26" t="n"/>
      <c r="M159" s="23" t="n"/>
      <c r="O159" s="26" t="n"/>
      <c r="P159" s="22" t="n"/>
    </row>
    <row r="160">
      <c r="A160" s="22" t="n"/>
      <c r="C160" s="22" t="n"/>
      <c r="F160" s="26" t="n"/>
      <c r="G160" s="26" t="n"/>
      <c r="I160" s="22" t="n"/>
      <c r="J160" s="26" t="n"/>
      <c r="M160" s="23" t="n"/>
      <c r="O160" s="26" t="n"/>
      <c r="P160" s="22" t="n"/>
    </row>
    <row r="161">
      <c r="A161" s="22" t="n"/>
      <c r="C161" s="22" t="n"/>
      <c r="F161" s="26" t="n"/>
      <c r="G161" s="26" t="n"/>
      <c r="I161" s="22" t="n"/>
      <c r="J161" s="26" t="n"/>
      <c r="M161" s="23" t="n"/>
      <c r="O161" s="26" t="n"/>
      <c r="P161" s="22" t="n"/>
    </row>
    <row r="162">
      <c r="A162" s="22" t="n"/>
      <c r="C162" s="22" t="n"/>
      <c r="F162" s="26" t="n"/>
      <c r="G162" s="26" t="n"/>
      <c r="I162" s="22" t="n"/>
      <c r="J162" s="26" t="n"/>
      <c r="M162" s="23" t="n"/>
      <c r="O162" s="26" t="n"/>
      <c r="P162" s="22" t="n"/>
    </row>
    <row r="163">
      <c r="A163" s="22" t="n"/>
      <c r="C163" s="22" t="n"/>
      <c r="F163" s="26" t="n"/>
      <c r="G163" s="26" t="n"/>
      <c r="I163" s="22" t="n"/>
      <c r="J163" s="26" t="n"/>
      <c r="M163" s="23" t="n"/>
      <c r="O163" s="26" t="n"/>
      <c r="P163" s="22" t="n"/>
    </row>
    <row r="164">
      <c r="A164" s="22" t="n"/>
      <c r="C164" s="22" t="n"/>
      <c r="F164" s="26" t="n"/>
      <c r="G164" s="26" t="n"/>
      <c r="I164" s="22" t="n"/>
      <c r="J164" s="26" t="n"/>
      <c r="M164" s="23" t="n"/>
      <c r="O164" s="26" t="n"/>
      <c r="P164" s="22" t="n"/>
    </row>
    <row r="165">
      <c r="A165" s="22" t="n"/>
      <c r="C165" s="22" t="n"/>
      <c r="F165" s="26" t="n"/>
      <c r="G165" s="26" t="n"/>
      <c r="I165" s="22" t="n"/>
      <c r="J165" s="26" t="n"/>
      <c r="M165" s="23" t="n"/>
      <c r="O165" s="26" t="n"/>
      <c r="P165" s="22" t="n"/>
    </row>
    <row r="166">
      <c r="A166" s="22" t="n"/>
      <c r="C166" s="22" t="n"/>
      <c r="F166" s="26" t="n"/>
      <c r="G166" s="26" t="n"/>
      <c r="I166" s="22" t="n"/>
      <c r="J166" s="26" t="n"/>
      <c r="M166" s="23" t="n"/>
      <c r="O166" s="26" t="n"/>
      <c r="P166" s="22" t="n"/>
    </row>
    <row r="167">
      <c r="A167" s="22" t="n"/>
      <c r="C167" s="22" t="n"/>
      <c r="F167" s="26" t="n"/>
      <c r="G167" s="26" t="n"/>
      <c r="I167" s="22" t="n"/>
      <c r="J167" s="26" t="n"/>
      <c r="M167" s="23" t="n"/>
      <c r="O167" s="26" t="n"/>
      <c r="P167" s="22" t="n"/>
    </row>
    <row r="168">
      <c r="A168" s="22" t="n"/>
      <c r="C168" s="22" t="n"/>
      <c r="F168" s="26" t="n"/>
      <c r="G168" s="26" t="n"/>
      <c r="I168" s="22" t="n"/>
      <c r="J168" s="26" t="n"/>
      <c r="M168" s="23" t="n"/>
      <c r="O168" s="26" t="n"/>
      <c r="P168" s="22" t="n"/>
    </row>
    <row r="169">
      <c r="A169" s="22" t="n"/>
      <c r="C169" s="22" t="n"/>
      <c r="F169" s="26" t="n"/>
      <c r="G169" s="26" t="n"/>
      <c r="I169" s="22" t="n"/>
      <c r="J169" s="26" t="n"/>
      <c r="M169" s="23" t="n"/>
      <c r="O169" s="26" t="n"/>
      <c r="P169" s="22" t="n"/>
    </row>
    <row r="170">
      <c r="A170" s="22" t="n"/>
      <c r="C170" s="22" t="n"/>
      <c r="F170" s="26" t="n"/>
      <c r="G170" s="26" t="n"/>
      <c r="I170" s="22" t="n"/>
      <c r="J170" s="26" t="n"/>
      <c r="M170" s="23" t="n"/>
      <c r="O170" s="26" t="n"/>
      <c r="P170" s="22" t="n"/>
    </row>
    <row r="171">
      <c r="A171" s="22" t="n"/>
      <c r="C171" s="22" t="n"/>
      <c r="F171" s="26" t="n"/>
      <c r="G171" s="26" t="n"/>
      <c r="I171" s="22" t="n"/>
      <c r="J171" s="26" t="n"/>
      <c r="M171" s="23" t="n"/>
      <c r="O171" s="26" t="n"/>
      <c r="P171" s="22" t="n"/>
    </row>
    <row r="172">
      <c r="A172" s="22" t="n"/>
      <c r="C172" s="22" t="n"/>
      <c r="F172" s="26" t="n"/>
      <c r="G172" s="26" t="n"/>
      <c r="I172" s="22" t="n"/>
      <c r="J172" s="26" t="n"/>
      <c r="M172" s="23" t="n"/>
      <c r="O172" s="26" t="n"/>
      <c r="P172" s="22" t="n"/>
    </row>
    <row r="173">
      <c r="A173" s="22" t="n"/>
      <c r="C173" s="22" t="n"/>
      <c r="F173" s="26" t="n"/>
      <c r="G173" s="26" t="n"/>
      <c r="I173" s="22" t="n"/>
      <c r="J173" s="26" t="n"/>
      <c r="M173" s="23" t="n"/>
      <c r="O173" s="26" t="n"/>
      <c r="P173" s="22" t="n"/>
    </row>
    <row r="174">
      <c r="A174" s="22" t="n"/>
      <c r="C174" s="22" t="n"/>
      <c r="F174" s="26" t="n"/>
      <c r="G174" s="26" t="n"/>
      <c r="I174" s="22" t="n"/>
      <c r="J174" s="26" t="n"/>
      <c r="M174" s="23" t="n"/>
      <c r="O174" s="26" t="n"/>
      <c r="P174" s="22" t="n"/>
    </row>
    <row r="175">
      <c r="A175" s="22" t="n"/>
      <c r="C175" s="22" t="n"/>
      <c r="F175" s="26" t="n"/>
      <c r="G175" s="26" t="n"/>
      <c r="I175" s="22" t="n"/>
      <c r="J175" s="26" t="n"/>
      <c r="M175" s="23" t="n"/>
      <c r="O175" s="26" t="n"/>
      <c r="P175" s="22" t="n"/>
    </row>
    <row r="176">
      <c r="A176" s="22" t="n"/>
      <c r="C176" s="22" t="n"/>
      <c r="F176" s="26" t="n"/>
      <c r="G176" s="26" t="n"/>
      <c r="I176" s="22" t="n"/>
      <c r="J176" s="26" t="n"/>
      <c r="M176" s="23" t="n"/>
      <c r="O176" s="26" t="n"/>
      <c r="P176" s="22" t="n"/>
    </row>
    <row r="177">
      <c r="A177" s="22" t="n"/>
      <c r="C177" s="22" t="n"/>
      <c r="F177" s="26" t="n"/>
      <c r="G177" s="26" t="n"/>
      <c r="I177" s="22" t="n"/>
      <c r="J177" s="26" t="n"/>
      <c r="M177" s="23" t="n"/>
      <c r="O177" s="26" t="n"/>
      <c r="P177" s="22" t="n"/>
    </row>
    <row r="178">
      <c r="A178" s="22" t="n"/>
      <c r="C178" s="22" t="n"/>
      <c r="F178" s="26" t="n"/>
      <c r="G178" s="26" t="n"/>
      <c r="I178" s="22" t="n"/>
      <c r="J178" s="26" t="n"/>
      <c r="M178" s="23" t="n"/>
      <c r="O178" s="26" t="n"/>
      <c r="P178" s="22" t="n"/>
    </row>
    <row r="179">
      <c r="A179" s="22" t="n"/>
      <c r="C179" s="22" t="n"/>
      <c r="F179" s="26" t="n"/>
      <c r="G179" s="26" t="n"/>
      <c r="I179" s="22" t="n"/>
      <c r="J179" s="26" t="n"/>
      <c r="M179" s="23" t="n"/>
      <c r="O179" s="26" t="n"/>
      <c r="P179" s="22" t="n"/>
    </row>
    <row r="180">
      <c r="A180" s="22" t="n"/>
      <c r="C180" s="22" t="n"/>
      <c r="F180" s="26" t="n"/>
      <c r="G180" s="26" t="n"/>
      <c r="I180" s="22" t="n"/>
      <c r="J180" s="26" t="n"/>
      <c r="M180" s="23" t="n"/>
      <c r="O180" s="26" t="n"/>
      <c r="P180" s="22" t="n"/>
    </row>
    <row r="181">
      <c r="A181" s="22" t="n"/>
      <c r="C181" s="22" t="n"/>
      <c r="F181" s="26" t="n"/>
      <c r="G181" s="26" t="n"/>
      <c r="I181" s="22" t="n"/>
      <c r="J181" s="26" t="n"/>
      <c r="M181" s="23" t="n"/>
      <c r="O181" s="26" t="n"/>
      <c r="P181" s="22" t="n"/>
    </row>
    <row r="182">
      <c r="A182" s="22" t="n"/>
      <c r="C182" s="22" t="n"/>
      <c r="F182" s="26" t="n"/>
      <c r="G182" s="26" t="n"/>
      <c r="I182" s="22" t="n"/>
      <c r="J182" s="26" t="n"/>
      <c r="M182" s="23" t="n"/>
      <c r="O182" s="26" t="n"/>
      <c r="P182" s="22" t="n"/>
    </row>
    <row r="183">
      <c r="A183" s="22" t="n"/>
      <c r="C183" s="22" t="n"/>
      <c r="F183" s="26" t="n"/>
      <c r="G183" s="26" t="n"/>
      <c r="I183" s="22" t="n"/>
      <c r="J183" s="26" t="n"/>
      <c r="M183" s="23" t="n"/>
      <c r="O183" s="26" t="n"/>
      <c r="P183" s="22" t="n"/>
    </row>
    <row r="184">
      <c r="A184" s="22" t="n"/>
      <c r="C184" s="22" t="n"/>
      <c r="F184" s="26" t="n"/>
      <c r="G184" s="26" t="n"/>
      <c r="I184" s="22" t="n"/>
      <c r="J184" s="26" t="n"/>
      <c r="M184" s="23" t="n"/>
      <c r="O184" s="26" t="n"/>
      <c r="P184" s="22" t="n"/>
    </row>
    <row r="185">
      <c r="A185" s="22" t="n"/>
      <c r="C185" s="22" t="n"/>
      <c r="F185" s="26" t="n"/>
      <c r="G185" s="26" t="n"/>
      <c r="I185" s="22" t="n"/>
      <c r="J185" s="26" t="n"/>
      <c r="M185" s="23" t="n"/>
      <c r="O185" s="26" t="n"/>
      <c r="P185" s="22" t="n"/>
    </row>
    <row r="186">
      <c r="A186" s="22" t="n"/>
      <c r="C186" s="22" t="n"/>
      <c r="F186" s="26" t="n"/>
      <c r="G186" s="26" t="n"/>
      <c r="I186" s="22" t="n"/>
      <c r="J186" s="26" t="n"/>
      <c r="M186" s="23" t="n"/>
      <c r="O186" s="26" t="n"/>
      <c r="P186" s="22" t="n"/>
    </row>
    <row r="187">
      <c r="A187" s="22" t="n"/>
      <c r="C187" s="22" t="n"/>
      <c r="F187" s="26" t="n"/>
      <c r="G187" s="26" t="n"/>
      <c r="I187" s="22" t="n"/>
      <c r="J187" s="26" t="n"/>
      <c r="M187" s="23" t="n"/>
      <c r="O187" s="26" t="n"/>
      <c r="P187" s="22" t="n"/>
    </row>
    <row r="188">
      <c r="A188" s="22" t="n"/>
      <c r="C188" s="22" t="n"/>
      <c r="F188" s="26" t="n"/>
      <c r="G188" s="26" t="n"/>
      <c r="I188" s="22" t="n"/>
      <c r="J188" s="26" t="n"/>
      <c r="M188" s="23" t="n"/>
      <c r="O188" s="26" t="n"/>
      <c r="P188" s="22" t="n"/>
    </row>
    <row r="189">
      <c r="A189" s="22" t="n"/>
      <c r="C189" s="22" t="n"/>
      <c r="F189" s="26" t="n"/>
      <c r="G189" s="26" t="n"/>
      <c r="I189" s="22" t="n"/>
      <c r="J189" s="26" t="n"/>
      <c r="M189" s="23" t="n"/>
      <c r="O189" s="26" t="n"/>
      <c r="P189" s="22" t="n"/>
    </row>
    <row r="190">
      <c r="A190" s="22" t="n"/>
      <c r="C190" s="22" t="n"/>
      <c r="F190" s="26" t="n"/>
      <c r="G190" s="26" t="n"/>
      <c r="I190" s="22" t="n"/>
      <c r="J190" s="26" t="n"/>
      <c r="M190" s="23" t="n"/>
      <c r="O190" s="26" t="n"/>
      <c r="P190" s="22" t="n"/>
    </row>
    <row r="191">
      <c r="A191" s="22" t="n"/>
      <c r="C191" s="22" t="n"/>
      <c r="F191" s="26" t="n"/>
      <c r="G191" s="26" t="n"/>
      <c r="I191" s="22" t="n"/>
      <c r="J191" s="26" t="n"/>
      <c r="M191" s="23" t="n"/>
      <c r="O191" s="26" t="n"/>
      <c r="P191" s="22" t="n"/>
    </row>
    <row r="192">
      <c r="A192" s="22" t="n"/>
      <c r="C192" s="22" t="n"/>
      <c r="F192" s="26" t="n"/>
      <c r="G192" s="26" t="n"/>
      <c r="I192" s="22" t="n"/>
      <c r="J192" s="26" t="n"/>
      <c r="M192" s="23" t="n"/>
      <c r="O192" s="26" t="n"/>
      <c r="P192" s="22" t="n"/>
    </row>
    <row r="193">
      <c r="A193" s="22" t="n"/>
      <c r="C193" s="22" t="n"/>
      <c r="F193" s="26" t="n"/>
      <c r="G193" s="26" t="n"/>
      <c r="I193" s="22" t="n"/>
      <c r="J193" s="26" t="n"/>
      <c r="M193" s="23" t="n"/>
      <c r="O193" s="26" t="n"/>
      <c r="P193" s="22" t="n"/>
    </row>
    <row r="194">
      <c r="A194" s="22" t="n"/>
      <c r="C194" s="22" t="n"/>
      <c r="F194" s="26" t="n"/>
      <c r="G194" s="26" t="n"/>
      <c r="I194" s="22" t="n"/>
      <c r="J194" s="26" t="n"/>
      <c r="M194" s="23" t="n"/>
      <c r="O194" s="26" t="n"/>
      <c r="P194" s="22" t="n"/>
    </row>
    <row r="195">
      <c r="A195" s="22" t="n"/>
      <c r="C195" s="22" t="n"/>
      <c r="F195" s="26" t="n"/>
      <c r="G195" s="26" t="n"/>
      <c r="I195" s="22" t="n"/>
      <c r="J195" s="26" t="n"/>
      <c r="M195" s="23" t="n"/>
      <c r="O195" s="26" t="n"/>
      <c r="P195" s="22" t="n"/>
    </row>
    <row r="196">
      <c r="A196" s="22" t="n"/>
      <c r="C196" s="22" t="n"/>
      <c r="F196" s="26" t="n"/>
      <c r="G196" s="26" t="n"/>
      <c r="I196" s="22" t="n"/>
      <c r="J196" s="26" t="n"/>
      <c r="M196" s="23" t="n"/>
      <c r="O196" s="26" t="n"/>
      <c r="P196" s="22" t="n"/>
    </row>
    <row r="197">
      <c r="A197" s="22" t="n"/>
      <c r="C197" s="22" t="n"/>
      <c r="F197" s="26" t="n"/>
      <c r="G197" s="26" t="n"/>
      <c r="I197" s="22" t="n"/>
      <c r="J197" s="26" t="n"/>
      <c r="M197" s="23" t="n"/>
      <c r="O197" s="26" t="n"/>
      <c r="P197" s="22" t="n"/>
    </row>
    <row r="198">
      <c r="A198" s="22" t="n"/>
      <c r="C198" s="22" t="n"/>
      <c r="F198" s="26" t="n"/>
      <c r="G198" s="26" t="n"/>
      <c r="I198" s="22" t="n"/>
      <c r="J198" s="26" t="n"/>
      <c r="M198" s="23" t="n"/>
      <c r="O198" s="26" t="n"/>
      <c r="P198" s="22" t="n"/>
    </row>
    <row r="199">
      <c r="A199" s="22" t="n"/>
      <c r="C199" s="22" t="n"/>
      <c r="F199" s="26" t="n"/>
      <c r="G199" s="26" t="n"/>
      <c r="I199" s="22" t="n"/>
      <c r="J199" s="26" t="n"/>
      <c r="M199" s="23" t="n"/>
      <c r="O199" s="26" t="n"/>
      <c r="P199" s="22" t="n"/>
    </row>
  </sheetData>
  <dataValidations count="3">
    <dataValidation sqref="L2:L1000" showDropDown="0" showInputMessage="0" showErrorMessage="0" allowBlank="1" errorTitle="Not in list" error="Pick a value from the list" type="list">
      <formula1>"Full,Partial,None"</formula1>
    </dataValidation>
    <dataValidation sqref="C2:C1000" showDropDown="0" showInputMessage="0" showErrorMessage="0" allowBlank="1" errorTitle="Not a cost-share program" error="Pick a program from the Cost_Share tab" type="list">
      <formula1>Services!$A$2:$A$100</formula1>
    </dataValidation>
    <dataValidation sqref="I2:I1000" showDropDown="0" showInputMessage="0" showErrorMessage="0" allowBlank="1" errorTitle="Not a cost-share program" error="Pick a program from the Cost_Share tab" type="list">
      <formula1>Cost_Share!$A$2:$A$100</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N199"/>
  <sheetViews>
    <sheetView zoomScale="110" workbookViewId="0">
      <pane xSplit="1" ySplit="1" topLeftCell="B2" activePane="bottomRight" state="frozen"/>
      <selection pane="topRight"/>
      <selection pane="bottomLeft"/>
      <selection pane="bottomRight" activeCell="A1" sqref="A1"/>
    </sheetView>
  </sheetViews>
  <sheetFormatPr baseColWidth="8" defaultRowHeight="15"/>
  <cols>
    <col width="22.8" customWidth="1" min="1" max="1"/>
    <col width="14" customWidth="1" min="2" max="2"/>
    <col width="30" customWidth="1" min="3" max="3"/>
    <col width="16.2" customWidth="1" min="4" max="4"/>
    <col width="14" customWidth="1" min="5" max="5"/>
    <col width="16.2" customWidth="1" min="6" max="6"/>
    <col width="19.5" customWidth="1" min="7" max="7"/>
    <col width="14" customWidth="1" min="8" max="8"/>
    <col width="15" customWidth="1" min="9" max="9"/>
    <col width="12.9" customWidth="1" min="10" max="10"/>
    <col width="12.9" customWidth="1" min="11" max="11"/>
    <col width="36" customWidth="1" min="12" max="12"/>
    <col width="16.2" customWidth="1" min="13" max="13"/>
    <col width="30" customWidth="1" min="14" max="14"/>
  </cols>
  <sheetData>
    <row r="1" ht="24" customHeight="1">
      <c r="A1" s="16" t="inlineStr">
        <is>
          <t>Partner_Invoice_ID</t>
        </is>
      </c>
      <c r="B1" s="16" t="inlineStr">
        <is>
          <t>Program_ID</t>
        </is>
      </c>
      <c r="C1" s="19" t="inlineStr">
        <is>
          <t>Partner_Organization</t>
        </is>
      </c>
      <c r="D1" s="16" t="inlineStr">
        <is>
          <t>Period_Start</t>
        </is>
      </c>
      <c r="E1" s="16" t="inlineStr">
        <is>
          <t>Period_End</t>
        </is>
      </c>
      <c r="F1" s="19" t="inlineStr">
        <is>
          <t>Full_Animals</t>
        </is>
      </c>
      <c r="G1" s="19" t="inlineStr">
        <is>
          <t>Partial_Animals</t>
        </is>
      </c>
      <c r="H1" s="19" t="inlineStr">
        <is>
          <t>Amount_Due</t>
        </is>
      </c>
      <c r="I1" s="16" t="inlineStr">
        <is>
          <t>Status</t>
        </is>
      </c>
      <c r="J1" s="16" t="inlineStr">
        <is>
          <t>Sent_Date</t>
        </is>
      </c>
      <c r="K1" s="16" t="inlineStr">
        <is>
          <t>Paid_Date</t>
        </is>
      </c>
      <c r="L1" s="16" t="inlineStr">
        <is>
          <t>Notes</t>
        </is>
      </c>
      <c r="M1" s="16" t="inlineStr">
        <is>
          <t>Check_Number</t>
        </is>
      </c>
      <c r="N1" s="18" t="inlineStr">
        <is>
          <t>PDF_Link</t>
        </is>
      </c>
    </row>
    <row r="2">
      <c r="A2" s="20" t="inlineStr">
        <is>
          <t>PB-CS01-2026Q4</t>
        </is>
      </c>
      <c r="B2" s="20" t="inlineStr">
        <is>
          <t>CS01</t>
        </is>
      </c>
      <c r="C2" s="17">
        <f>IFERROR(INDEX(Cost_Share!C:C,MATCH(B2,Cost_Share!A:A,0))&amp;"","")</f>
        <v/>
      </c>
      <c r="D2" s="21" t="n">
        <v>46296</v>
      </c>
      <c r="E2" s="21" t="n">
        <v>46387</v>
      </c>
      <c r="F2" s="17">
        <f>SUMPRODUCT(Invoice_Lines!$E$2:$E$5000,(Invoice_Lines!$I$2:$I$5000=B2)*(Invoice_Lines!$M$2:$M$5000&gt;=D2)*(Invoice_Lines!$M$2:$M$5000&lt;=E2)*((Invoice_Lines!$N$2:$N$5000="Sent")+(Invoice_Lines!$N$2:$N$5000="Paid"))*((Invoice_Lines!$P$2:$P$5000="")+(Invoice_Lines!$P$2:$P$5000=A2))*(Invoice_Lines!$L$2:$L$5000="Full"))</f>
        <v/>
      </c>
      <c r="G2" s="17">
        <f>SUMPRODUCT(Invoice_Lines!$E$2:$E$5000,(Invoice_Lines!$I$2:$I$5000=B2)*(Invoice_Lines!$M$2:$M$5000&gt;=D2)*(Invoice_Lines!$M$2:$M$5000&lt;=E2)*((Invoice_Lines!$N$2:$N$5000="Sent")+(Invoice_Lines!$N$2:$N$5000="Paid"))*((Invoice_Lines!$P$2:$P$5000="")+(Invoice_Lines!$P$2:$P$5000=A2))*(Invoice_Lines!$L$2:$L$5000="Partial"))</f>
        <v/>
      </c>
      <c r="H2" s="25">
        <f>SUMPRODUCT(Invoice_Lines!$J$2:$J$5000,(Invoice_Lines!$I$2:$I$5000=B2)*(Invoice_Lines!$M$2:$M$5000&gt;=D2)*(Invoice_Lines!$M$2:$M$5000&lt;=E2)*((Invoice_Lines!$N$2:$N$5000="Sent")+(Invoice_Lines!$N$2:$N$5000="Paid"))*((Invoice_Lines!$P$2:$P$5000="")+(Invoice_Lines!$P$2:$P$5000=A2)))</f>
        <v/>
      </c>
      <c r="I2" s="17" t="inlineStr">
        <is>
          <t>Draft</t>
        </is>
      </c>
      <c r="J2" s="21" t="n"/>
      <c r="K2" s="21" t="n"/>
      <c r="L2" s="17" t="inlineStr">
        <is>
          <t>One bill to ASI per quarter. Counts sent and paid producer invoices dated in the period.</t>
        </is>
      </c>
      <c r="M2" s="20" t="inlineStr"/>
      <c r="N2" s="17" t="inlineStr"/>
    </row>
    <row r="3">
      <c r="A3" s="20" t="inlineStr">
        <is>
          <t>PB-GR01-2026Q4</t>
        </is>
      </c>
      <c r="B3" s="20" t="inlineStr">
        <is>
          <t>GR01</t>
        </is>
      </c>
      <c r="C3" s="17">
        <f>IFERROR(INDEX(Cost_Share!C:C,MATCH(B3,Cost_Share!A:A,0))&amp;"","")</f>
        <v/>
      </c>
      <c r="D3" s="21" t="n">
        <v>46296</v>
      </c>
      <c r="E3" s="21" t="n">
        <v>46387</v>
      </c>
      <c r="F3" s="17">
        <f>SUMPRODUCT(Invoice_Lines!$E$2:$E$5000,(Invoice_Lines!$I$2:$I$5000=B3)*(Invoice_Lines!$M$2:$M$5000&gt;=D3)*(Invoice_Lines!$M$2:$M$5000&lt;=E3)*((Invoice_Lines!$N$2:$N$5000="Sent")+(Invoice_Lines!$N$2:$N$5000="Paid"))*((Invoice_Lines!$P$2:$P$5000="")+(Invoice_Lines!$P$2:$P$5000=A3))*(Invoice_Lines!$L$2:$L$5000="Full"))</f>
        <v/>
      </c>
      <c r="G3" s="17">
        <f>SUMPRODUCT(Invoice_Lines!$E$2:$E$5000,(Invoice_Lines!$I$2:$I$5000=B3)*(Invoice_Lines!$M$2:$M$5000&gt;=D3)*(Invoice_Lines!$M$2:$M$5000&lt;=E3)*((Invoice_Lines!$N$2:$N$5000="Sent")+(Invoice_Lines!$N$2:$N$5000="Paid"))*((Invoice_Lines!$P$2:$P$5000="")+(Invoice_Lines!$P$2:$P$5000=A3))*(Invoice_Lines!$L$2:$L$5000="Partial"))</f>
        <v/>
      </c>
      <c r="H3" s="25">
        <f>SUMPRODUCT(Invoice_Lines!$J$2:$J$5000,(Invoice_Lines!$I$2:$I$5000=B3)*(Invoice_Lines!$M$2:$M$5000&gt;=D3)*(Invoice_Lines!$M$2:$M$5000&lt;=E3)*((Invoice_Lines!$N$2:$N$5000="Sent")+(Invoice_Lines!$N$2:$N$5000="Paid"))*((Invoice_Lines!$P$2:$P$5000="")+(Invoice_Lines!$P$2:$P$5000=A3)))</f>
        <v/>
      </c>
      <c r="I3" s="17" t="inlineStr">
        <is>
          <t>Draft</t>
        </is>
      </c>
      <c r="J3" s="21" t="n"/>
      <c r="K3" s="21" t="n"/>
      <c r="L3" s="17" t="inlineStr">
        <is>
          <t>What the grant covered this quarter (for your records or an internal transfer).</t>
        </is>
      </c>
      <c r="M3" s="20" t="inlineStr"/>
      <c r="N3" s="17" t="inlineStr"/>
    </row>
    <row r="4">
      <c r="A4" s="22" t="n"/>
      <c r="B4" s="22" t="n"/>
      <c r="D4" s="23" t="n"/>
      <c r="E4" s="23" t="n"/>
      <c r="H4" s="26" t="n"/>
      <c r="J4" s="23" t="n"/>
      <c r="K4" s="23" t="n"/>
      <c r="M4" s="22" t="n"/>
    </row>
    <row r="5">
      <c r="A5" s="22" t="n"/>
      <c r="B5" s="22" t="n"/>
      <c r="D5" s="23" t="n"/>
      <c r="E5" s="23" t="n"/>
      <c r="H5" s="26" t="n"/>
      <c r="J5" s="23" t="n"/>
      <c r="K5" s="23" t="n"/>
      <c r="M5" s="22" t="n"/>
    </row>
    <row r="6">
      <c r="A6" s="22" t="n"/>
      <c r="B6" s="22" t="n"/>
      <c r="D6" s="23" t="n"/>
      <c r="E6" s="23" t="n"/>
      <c r="H6" s="26" t="n"/>
      <c r="J6" s="23" t="n"/>
      <c r="K6" s="23" t="n"/>
      <c r="M6" s="22" t="n"/>
    </row>
    <row r="7">
      <c r="A7" s="22" t="n"/>
      <c r="B7" s="22" t="n"/>
      <c r="D7" s="23" t="n"/>
      <c r="E7" s="23" t="n"/>
      <c r="H7" s="26" t="n"/>
      <c r="J7" s="23" t="n"/>
      <c r="K7" s="23" t="n"/>
      <c r="M7" s="22" t="n"/>
    </row>
    <row r="8">
      <c r="A8" s="22" t="n"/>
      <c r="B8" s="22" t="n"/>
      <c r="D8" s="23" t="n"/>
      <c r="E8" s="23" t="n"/>
      <c r="H8" s="26" t="n"/>
      <c r="J8" s="23" t="n"/>
      <c r="K8" s="23" t="n"/>
      <c r="M8" s="22" t="n"/>
    </row>
    <row r="9">
      <c r="A9" s="22" t="n"/>
      <c r="B9" s="22" t="n"/>
      <c r="D9" s="23" t="n"/>
      <c r="E9" s="23" t="n"/>
      <c r="H9" s="26" t="n"/>
      <c r="J9" s="23" t="n"/>
      <c r="K9" s="23" t="n"/>
      <c r="M9" s="22" t="n"/>
    </row>
    <row r="10">
      <c r="A10" s="22" t="n"/>
      <c r="B10" s="22" t="n"/>
      <c r="D10" s="23" t="n"/>
      <c r="E10" s="23" t="n"/>
      <c r="H10" s="26" t="n"/>
      <c r="J10" s="23" t="n"/>
      <c r="K10" s="23" t="n"/>
      <c r="M10" s="22" t="n"/>
    </row>
    <row r="11">
      <c r="A11" s="22" t="n"/>
      <c r="B11" s="22" t="n"/>
      <c r="D11" s="23" t="n"/>
      <c r="E11" s="23" t="n"/>
      <c r="H11" s="26" t="n"/>
      <c r="J11" s="23" t="n"/>
      <c r="K11" s="23" t="n"/>
      <c r="M11" s="22" t="n"/>
    </row>
    <row r="12">
      <c r="A12" s="22" t="n"/>
      <c r="B12" s="22" t="n"/>
      <c r="D12" s="23" t="n"/>
      <c r="E12" s="23" t="n"/>
      <c r="H12" s="26" t="n"/>
      <c r="J12" s="23" t="n"/>
      <c r="K12" s="23" t="n"/>
      <c r="M12" s="22" t="n"/>
    </row>
    <row r="13">
      <c r="A13" s="22" t="n"/>
      <c r="B13" s="22" t="n"/>
      <c r="D13" s="23" t="n"/>
      <c r="E13" s="23" t="n"/>
      <c r="H13" s="26" t="n"/>
      <c r="J13" s="23" t="n"/>
      <c r="K13" s="23" t="n"/>
      <c r="M13" s="22" t="n"/>
    </row>
    <row r="14">
      <c r="A14" s="22" t="n"/>
      <c r="B14" s="22" t="n"/>
      <c r="D14" s="23" t="n"/>
      <c r="E14" s="23" t="n"/>
      <c r="H14" s="26" t="n"/>
      <c r="J14" s="23" t="n"/>
      <c r="K14" s="23" t="n"/>
      <c r="M14" s="22" t="n"/>
    </row>
    <row r="15">
      <c r="A15" s="22" t="n"/>
      <c r="B15" s="22" t="n"/>
      <c r="D15" s="23" t="n"/>
      <c r="E15" s="23" t="n"/>
      <c r="H15" s="26" t="n"/>
      <c r="J15" s="23" t="n"/>
      <c r="K15" s="23" t="n"/>
      <c r="M15" s="22" t="n"/>
    </row>
    <row r="16">
      <c r="A16" s="22" t="n"/>
      <c r="B16" s="22" t="n"/>
      <c r="D16" s="23" t="n"/>
      <c r="E16" s="23" t="n"/>
      <c r="H16" s="26" t="n"/>
      <c r="J16" s="23" t="n"/>
      <c r="K16" s="23" t="n"/>
      <c r="M16" s="22" t="n"/>
    </row>
    <row r="17">
      <c r="A17" s="22" t="n"/>
      <c r="B17" s="22" t="n"/>
      <c r="D17" s="23" t="n"/>
      <c r="E17" s="23" t="n"/>
      <c r="H17" s="26" t="n"/>
      <c r="J17" s="23" t="n"/>
      <c r="K17" s="23" t="n"/>
      <c r="M17" s="22" t="n"/>
    </row>
    <row r="18">
      <c r="A18" s="22" t="n"/>
      <c r="B18" s="22" t="n"/>
      <c r="D18" s="23" t="n"/>
      <c r="E18" s="23" t="n"/>
      <c r="H18" s="26" t="n"/>
      <c r="J18" s="23" t="n"/>
      <c r="K18" s="23" t="n"/>
      <c r="M18" s="22" t="n"/>
    </row>
    <row r="19">
      <c r="A19" s="22" t="n"/>
      <c r="B19" s="22" t="n"/>
      <c r="D19" s="23" t="n"/>
      <c r="E19" s="23" t="n"/>
      <c r="H19" s="26" t="n"/>
      <c r="J19" s="23" t="n"/>
      <c r="K19" s="23" t="n"/>
      <c r="M19" s="22" t="n"/>
    </row>
    <row r="20">
      <c r="A20" s="22" t="n"/>
      <c r="B20" s="22" t="n"/>
      <c r="D20" s="23" t="n"/>
      <c r="E20" s="23" t="n"/>
      <c r="H20" s="26" t="n"/>
      <c r="J20" s="23" t="n"/>
      <c r="K20" s="23" t="n"/>
      <c r="M20" s="22" t="n"/>
    </row>
    <row r="21">
      <c r="A21" s="22" t="n"/>
      <c r="B21" s="22" t="n"/>
      <c r="D21" s="23" t="n"/>
      <c r="E21" s="23" t="n"/>
      <c r="H21" s="26" t="n"/>
      <c r="J21" s="23" t="n"/>
      <c r="K21" s="23" t="n"/>
      <c r="M21" s="22" t="n"/>
    </row>
    <row r="22">
      <c r="A22" s="22" t="n"/>
      <c r="B22" s="22" t="n"/>
      <c r="D22" s="23" t="n"/>
      <c r="E22" s="23" t="n"/>
      <c r="H22" s="26" t="n"/>
      <c r="J22" s="23" t="n"/>
      <c r="K22" s="23" t="n"/>
      <c r="M22" s="22" t="n"/>
    </row>
    <row r="23">
      <c r="A23" s="22" t="n"/>
      <c r="B23" s="22" t="n"/>
      <c r="D23" s="23" t="n"/>
      <c r="E23" s="23" t="n"/>
      <c r="H23" s="26" t="n"/>
      <c r="J23" s="23" t="n"/>
      <c r="K23" s="23" t="n"/>
      <c r="M23" s="22" t="n"/>
    </row>
    <row r="24">
      <c r="A24" s="22" t="n"/>
      <c r="B24" s="22" t="n"/>
      <c r="D24" s="23" t="n"/>
      <c r="E24" s="23" t="n"/>
      <c r="H24" s="26" t="n"/>
      <c r="J24" s="23" t="n"/>
      <c r="K24" s="23" t="n"/>
      <c r="M24" s="22" t="n"/>
    </row>
    <row r="25">
      <c r="A25" s="22" t="n"/>
      <c r="B25" s="22" t="n"/>
      <c r="D25" s="23" t="n"/>
      <c r="E25" s="23" t="n"/>
      <c r="H25" s="26" t="n"/>
      <c r="J25" s="23" t="n"/>
      <c r="K25" s="23" t="n"/>
      <c r="M25" s="22" t="n"/>
    </row>
    <row r="26">
      <c r="A26" s="22" t="n"/>
      <c r="B26" s="22" t="n"/>
      <c r="D26" s="23" t="n"/>
      <c r="E26" s="23" t="n"/>
      <c r="H26" s="26" t="n"/>
      <c r="J26" s="23" t="n"/>
      <c r="K26" s="23" t="n"/>
      <c r="M26" s="22" t="n"/>
    </row>
    <row r="27">
      <c r="A27" s="22" t="n"/>
      <c r="B27" s="22" t="n"/>
      <c r="D27" s="23" t="n"/>
      <c r="E27" s="23" t="n"/>
      <c r="H27" s="26" t="n"/>
      <c r="J27" s="23" t="n"/>
      <c r="K27" s="23" t="n"/>
      <c r="M27" s="22" t="n"/>
    </row>
    <row r="28">
      <c r="A28" s="22" t="n"/>
      <c r="B28" s="22" t="n"/>
      <c r="D28" s="23" t="n"/>
      <c r="E28" s="23" t="n"/>
      <c r="H28" s="26" t="n"/>
      <c r="J28" s="23" t="n"/>
      <c r="K28" s="23" t="n"/>
      <c r="M28" s="22" t="n"/>
    </row>
    <row r="29">
      <c r="A29" s="22" t="n"/>
      <c r="B29" s="22" t="n"/>
      <c r="D29" s="23" t="n"/>
      <c r="E29" s="23" t="n"/>
      <c r="H29" s="26" t="n"/>
      <c r="J29" s="23" t="n"/>
      <c r="K29" s="23" t="n"/>
      <c r="M29" s="22" t="n"/>
    </row>
    <row r="30">
      <c r="A30" s="22" t="n"/>
      <c r="B30" s="22" t="n"/>
      <c r="D30" s="23" t="n"/>
      <c r="E30" s="23" t="n"/>
      <c r="H30" s="26" t="n"/>
      <c r="J30" s="23" t="n"/>
      <c r="K30" s="23" t="n"/>
      <c r="M30" s="22" t="n"/>
    </row>
    <row r="31">
      <c r="A31" s="22" t="n"/>
      <c r="B31" s="22" t="n"/>
      <c r="D31" s="23" t="n"/>
      <c r="E31" s="23" t="n"/>
      <c r="H31" s="26" t="n"/>
      <c r="J31" s="23" t="n"/>
      <c r="K31" s="23" t="n"/>
      <c r="M31" s="22" t="n"/>
    </row>
    <row r="32">
      <c r="A32" s="22" t="n"/>
      <c r="B32" s="22" t="n"/>
      <c r="D32" s="23" t="n"/>
      <c r="E32" s="23" t="n"/>
      <c r="H32" s="26" t="n"/>
      <c r="J32" s="23" t="n"/>
      <c r="K32" s="23" t="n"/>
      <c r="M32" s="22" t="n"/>
    </row>
    <row r="33">
      <c r="A33" s="22" t="n"/>
      <c r="B33" s="22" t="n"/>
      <c r="D33" s="23" t="n"/>
      <c r="E33" s="23" t="n"/>
      <c r="H33" s="26" t="n"/>
      <c r="J33" s="23" t="n"/>
      <c r="K33" s="23" t="n"/>
      <c r="M33" s="22" t="n"/>
    </row>
    <row r="34">
      <c r="A34" s="22" t="n"/>
      <c r="B34" s="22" t="n"/>
      <c r="D34" s="23" t="n"/>
      <c r="E34" s="23" t="n"/>
      <c r="H34" s="26" t="n"/>
      <c r="J34" s="23" t="n"/>
      <c r="K34" s="23" t="n"/>
      <c r="M34" s="22" t="n"/>
    </row>
    <row r="35">
      <c r="A35" s="22" t="n"/>
      <c r="B35" s="22" t="n"/>
      <c r="D35" s="23" t="n"/>
      <c r="E35" s="23" t="n"/>
      <c r="H35" s="26" t="n"/>
      <c r="J35" s="23" t="n"/>
      <c r="K35" s="23" t="n"/>
      <c r="M35" s="22" t="n"/>
    </row>
    <row r="36">
      <c r="A36" s="22" t="n"/>
      <c r="B36" s="22" t="n"/>
      <c r="D36" s="23" t="n"/>
      <c r="E36" s="23" t="n"/>
      <c r="H36" s="26" t="n"/>
      <c r="J36" s="23" t="n"/>
      <c r="K36" s="23" t="n"/>
      <c r="M36" s="22" t="n"/>
    </row>
    <row r="37">
      <c r="A37" s="22" t="n"/>
      <c r="B37" s="22" t="n"/>
      <c r="D37" s="23" t="n"/>
      <c r="E37" s="23" t="n"/>
      <c r="H37" s="26" t="n"/>
      <c r="J37" s="23" t="n"/>
      <c r="K37" s="23" t="n"/>
      <c r="M37" s="22" t="n"/>
    </row>
    <row r="38">
      <c r="A38" s="22" t="n"/>
      <c r="B38" s="22" t="n"/>
      <c r="D38" s="23" t="n"/>
      <c r="E38" s="23" t="n"/>
      <c r="H38" s="26" t="n"/>
      <c r="J38" s="23" t="n"/>
      <c r="K38" s="23" t="n"/>
      <c r="M38" s="22" t="n"/>
    </row>
    <row r="39">
      <c r="A39" s="22" t="n"/>
      <c r="B39" s="22" t="n"/>
      <c r="D39" s="23" t="n"/>
      <c r="E39" s="23" t="n"/>
      <c r="H39" s="26" t="n"/>
      <c r="J39" s="23" t="n"/>
      <c r="K39" s="23" t="n"/>
      <c r="M39" s="22" t="n"/>
    </row>
    <row r="40">
      <c r="A40" s="22" t="n"/>
      <c r="B40" s="22" t="n"/>
      <c r="D40" s="23" t="n"/>
      <c r="E40" s="23" t="n"/>
      <c r="H40" s="26" t="n"/>
      <c r="J40" s="23" t="n"/>
      <c r="K40" s="23" t="n"/>
      <c r="M40" s="22" t="n"/>
    </row>
    <row r="41">
      <c r="A41" s="22" t="n"/>
      <c r="B41" s="22" t="n"/>
      <c r="D41" s="23" t="n"/>
      <c r="E41" s="23" t="n"/>
      <c r="H41" s="26" t="n"/>
      <c r="J41" s="23" t="n"/>
      <c r="K41" s="23" t="n"/>
      <c r="M41" s="22" t="n"/>
    </row>
    <row r="42">
      <c r="A42" s="22" t="n"/>
      <c r="B42" s="22" t="n"/>
      <c r="D42" s="23" t="n"/>
      <c r="E42" s="23" t="n"/>
      <c r="H42" s="26" t="n"/>
      <c r="J42" s="23" t="n"/>
      <c r="K42" s="23" t="n"/>
      <c r="M42" s="22" t="n"/>
    </row>
    <row r="43">
      <c r="A43" s="22" t="n"/>
      <c r="B43" s="22" t="n"/>
      <c r="D43" s="23" t="n"/>
      <c r="E43" s="23" t="n"/>
      <c r="H43" s="26" t="n"/>
      <c r="J43" s="23" t="n"/>
      <c r="K43" s="23" t="n"/>
      <c r="M43" s="22" t="n"/>
    </row>
    <row r="44">
      <c r="A44" s="22" t="n"/>
      <c r="B44" s="22" t="n"/>
      <c r="D44" s="23" t="n"/>
      <c r="E44" s="23" t="n"/>
      <c r="H44" s="26" t="n"/>
      <c r="J44" s="23" t="n"/>
      <c r="K44" s="23" t="n"/>
      <c r="M44" s="22" t="n"/>
    </row>
    <row r="45">
      <c r="A45" s="22" t="n"/>
      <c r="B45" s="22" t="n"/>
      <c r="D45" s="23" t="n"/>
      <c r="E45" s="23" t="n"/>
      <c r="H45" s="26" t="n"/>
      <c r="J45" s="23" t="n"/>
      <c r="K45" s="23" t="n"/>
      <c r="M45" s="22" t="n"/>
    </row>
    <row r="46">
      <c r="A46" s="22" t="n"/>
      <c r="B46" s="22" t="n"/>
      <c r="D46" s="23" t="n"/>
      <c r="E46" s="23" t="n"/>
      <c r="H46" s="26" t="n"/>
      <c r="J46" s="23" t="n"/>
      <c r="K46" s="23" t="n"/>
      <c r="M46" s="22" t="n"/>
    </row>
    <row r="47">
      <c r="A47" s="22" t="n"/>
      <c r="B47" s="22" t="n"/>
      <c r="D47" s="23" t="n"/>
      <c r="E47" s="23" t="n"/>
      <c r="H47" s="26" t="n"/>
      <c r="J47" s="23" t="n"/>
      <c r="K47" s="23" t="n"/>
      <c r="M47" s="22" t="n"/>
    </row>
    <row r="48">
      <c r="A48" s="22" t="n"/>
      <c r="B48" s="22" t="n"/>
      <c r="D48" s="23" t="n"/>
      <c r="E48" s="23" t="n"/>
      <c r="H48" s="26" t="n"/>
      <c r="J48" s="23" t="n"/>
      <c r="K48" s="23" t="n"/>
      <c r="M48" s="22" t="n"/>
    </row>
    <row r="49">
      <c r="A49" s="22" t="n"/>
      <c r="B49" s="22" t="n"/>
      <c r="D49" s="23" t="n"/>
      <c r="E49" s="23" t="n"/>
      <c r="H49" s="26" t="n"/>
      <c r="J49" s="23" t="n"/>
      <c r="K49" s="23" t="n"/>
      <c r="M49" s="22" t="n"/>
    </row>
    <row r="50">
      <c r="A50" s="22" t="n"/>
      <c r="B50" s="22" t="n"/>
      <c r="D50" s="23" t="n"/>
      <c r="E50" s="23" t="n"/>
      <c r="H50" s="26" t="n"/>
      <c r="J50" s="23" t="n"/>
      <c r="K50" s="23" t="n"/>
      <c r="M50" s="22" t="n"/>
    </row>
    <row r="51">
      <c r="A51" s="22" t="n"/>
      <c r="B51" s="22" t="n"/>
      <c r="D51" s="23" t="n"/>
      <c r="E51" s="23" t="n"/>
      <c r="H51" s="26" t="n"/>
      <c r="J51" s="23" t="n"/>
      <c r="K51" s="23" t="n"/>
      <c r="M51" s="22" t="n"/>
    </row>
    <row r="52">
      <c r="A52" s="22" t="n"/>
      <c r="B52" s="22" t="n"/>
      <c r="D52" s="23" t="n"/>
      <c r="E52" s="23" t="n"/>
      <c r="H52" s="26" t="n"/>
      <c r="J52" s="23" t="n"/>
      <c r="K52" s="23" t="n"/>
      <c r="M52" s="22" t="n"/>
    </row>
    <row r="53">
      <c r="A53" s="22" t="n"/>
      <c r="B53" s="22" t="n"/>
      <c r="D53" s="23" t="n"/>
      <c r="E53" s="23" t="n"/>
      <c r="H53" s="26" t="n"/>
      <c r="J53" s="23" t="n"/>
      <c r="K53" s="23" t="n"/>
      <c r="M53" s="22" t="n"/>
    </row>
    <row r="54">
      <c r="A54" s="22" t="n"/>
      <c r="B54" s="22" t="n"/>
      <c r="D54" s="23" t="n"/>
      <c r="E54" s="23" t="n"/>
      <c r="H54" s="26" t="n"/>
      <c r="J54" s="23" t="n"/>
      <c r="K54" s="23" t="n"/>
      <c r="M54" s="22" t="n"/>
    </row>
    <row r="55">
      <c r="A55" s="22" t="n"/>
      <c r="B55" s="22" t="n"/>
      <c r="D55" s="23" t="n"/>
      <c r="E55" s="23" t="n"/>
      <c r="H55" s="26" t="n"/>
      <c r="J55" s="23" t="n"/>
      <c r="K55" s="23" t="n"/>
      <c r="M55" s="22" t="n"/>
    </row>
    <row r="56">
      <c r="A56" s="22" t="n"/>
      <c r="B56" s="22" t="n"/>
      <c r="D56" s="23" t="n"/>
      <c r="E56" s="23" t="n"/>
      <c r="H56" s="26" t="n"/>
      <c r="J56" s="23" t="n"/>
      <c r="K56" s="23" t="n"/>
      <c r="M56" s="22" t="n"/>
    </row>
    <row r="57">
      <c r="A57" s="22" t="n"/>
      <c r="B57" s="22" t="n"/>
      <c r="D57" s="23" t="n"/>
      <c r="E57" s="23" t="n"/>
      <c r="H57" s="26" t="n"/>
      <c r="J57" s="23" t="n"/>
      <c r="K57" s="23" t="n"/>
      <c r="M57" s="22" t="n"/>
    </row>
    <row r="58">
      <c r="A58" s="22" t="n"/>
      <c r="B58" s="22" t="n"/>
      <c r="D58" s="23" t="n"/>
      <c r="E58" s="23" t="n"/>
      <c r="H58" s="26" t="n"/>
      <c r="J58" s="23" t="n"/>
      <c r="K58" s="23" t="n"/>
      <c r="M58" s="22" t="n"/>
    </row>
    <row r="59">
      <c r="A59" s="22" t="n"/>
      <c r="B59" s="22" t="n"/>
      <c r="D59" s="23" t="n"/>
      <c r="E59" s="23" t="n"/>
      <c r="H59" s="26" t="n"/>
      <c r="J59" s="23" t="n"/>
      <c r="K59" s="23" t="n"/>
      <c r="M59" s="22" t="n"/>
    </row>
    <row r="60">
      <c r="A60" s="22" t="n"/>
      <c r="B60" s="22" t="n"/>
      <c r="D60" s="23" t="n"/>
      <c r="E60" s="23" t="n"/>
      <c r="H60" s="26" t="n"/>
      <c r="J60" s="23" t="n"/>
      <c r="K60" s="23" t="n"/>
      <c r="M60" s="22" t="n"/>
    </row>
    <row r="61">
      <c r="A61" s="22" t="n"/>
      <c r="B61" s="22" t="n"/>
      <c r="D61" s="23" t="n"/>
      <c r="E61" s="23" t="n"/>
      <c r="H61" s="26" t="n"/>
      <c r="J61" s="23" t="n"/>
      <c r="K61" s="23" t="n"/>
      <c r="M61" s="22" t="n"/>
    </row>
    <row r="62">
      <c r="A62" s="22" t="n"/>
      <c r="B62" s="22" t="n"/>
      <c r="D62" s="23" t="n"/>
      <c r="E62" s="23" t="n"/>
      <c r="H62" s="26" t="n"/>
      <c r="J62" s="23" t="n"/>
      <c r="K62" s="23" t="n"/>
      <c r="M62" s="22" t="n"/>
    </row>
    <row r="63">
      <c r="A63" s="22" t="n"/>
      <c r="B63" s="22" t="n"/>
      <c r="D63" s="23" t="n"/>
      <c r="E63" s="23" t="n"/>
      <c r="H63" s="26" t="n"/>
      <c r="J63" s="23" t="n"/>
      <c r="K63" s="23" t="n"/>
      <c r="M63" s="22" t="n"/>
    </row>
    <row r="64">
      <c r="A64" s="22" t="n"/>
      <c r="B64" s="22" t="n"/>
      <c r="D64" s="23" t="n"/>
      <c r="E64" s="23" t="n"/>
      <c r="H64" s="26" t="n"/>
      <c r="J64" s="23" t="n"/>
      <c r="K64" s="23" t="n"/>
      <c r="M64" s="22" t="n"/>
    </row>
    <row r="65">
      <c r="A65" s="22" t="n"/>
      <c r="B65" s="22" t="n"/>
      <c r="D65" s="23" t="n"/>
      <c r="E65" s="23" t="n"/>
      <c r="H65" s="26" t="n"/>
      <c r="J65" s="23" t="n"/>
      <c r="K65" s="23" t="n"/>
      <c r="M65" s="22" t="n"/>
    </row>
    <row r="66">
      <c r="A66" s="22" t="n"/>
      <c r="B66" s="22" t="n"/>
      <c r="D66" s="23" t="n"/>
      <c r="E66" s="23" t="n"/>
      <c r="H66" s="26" t="n"/>
      <c r="J66" s="23" t="n"/>
      <c r="K66" s="23" t="n"/>
      <c r="M66" s="22" t="n"/>
    </row>
    <row r="67">
      <c r="A67" s="22" t="n"/>
      <c r="B67" s="22" t="n"/>
      <c r="D67" s="23" t="n"/>
      <c r="E67" s="23" t="n"/>
      <c r="H67" s="26" t="n"/>
      <c r="J67" s="23" t="n"/>
      <c r="K67" s="23" t="n"/>
      <c r="M67" s="22" t="n"/>
    </row>
    <row r="68">
      <c r="A68" s="22" t="n"/>
      <c r="B68" s="22" t="n"/>
      <c r="D68" s="23" t="n"/>
      <c r="E68" s="23" t="n"/>
      <c r="H68" s="26" t="n"/>
      <c r="J68" s="23" t="n"/>
      <c r="K68" s="23" t="n"/>
      <c r="M68" s="22" t="n"/>
    </row>
    <row r="69">
      <c r="A69" s="22" t="n"/>
      <c r="B69" s="22" t="n"/>
      <c r="D69" s="23" t="n"/>
      <c r="E69" s="23" t="n"/>
      <c r="H69" s="26" t="n"/>
      <c r="J69" s="23" t="n"/>
      <c r="K69" s="23" t="n"/>
      <c r="M69" s="22" t="n"/>
    </row>
    <row r="70">
      <c r="A70" s="22" t="n"/>
      <c r="B70" s="22" t="n"/>
      <c r="D70" s="23" t="n"/>
      <c r="E70" s="23" t="n"/>
      <c r="H70" s="26" t="n"/>
      <c r="J70" s="23" t="n"/>
      <c r="K70" s="23" t="n"/>
      <c r="M70" s="22" t="n"/>
    </row>
    <row r="71">
      <c r="A71" s="22" t="n"/>
      <c r="B71" s="22" t="n"/>
      <c r="D71" s="23" t="n"/>
      <c r="E71" s="23" t="n"/>
      <c r="H71" s="26" t="n"/>
      <c r="J71" s="23" t="n"/>
      <c r="K71" s="23" t="n"/>
      <c r="M71" s="22" t="n"/>
    </row>
    <row r="72">
      <c r="A72" s="22" t="n"/>
      <c r="B72" s="22" t="n"/>
      <c r="D72" s="23" t="n"/>
      <c r="E72" s="23" t="n"/>
      <c r="H72" s="26" t="n"/>
      <c r="J72" s="23" t="n"/>
      <c r="K72" s="23" t="n"/>
      <c r="M72" s="22" t="n"/>
    </row>
    <row r="73">
      <c r="A73" s="22" t="n"/>
      <c r="B73" s="22" t="n"/>
      <c r="D73" s="23" t="n"/>
      <c r="E73" s="23" t="n"/>
      <c r="H73" s="26" t="n"/>
      <c r="J73" s="23" t="n"/>
      <c r="K73" s="23" t="n"/>
      <c r="M73" s="22" t="n"/>
    </row>
    <row r="74">
      <c r="A74" s="22" t="n"/>
      <c r="B74" s="22" t="n"/>
      <c r="D74" s="23" t="n"/>
      <c r="E74" s="23" t="n"/>
      <c r="H74" s="26" t="n"/>
      <c r="J74" s="23" t="n"/>
      <c r="K74" s="23" t="n"/>
      <c r="M74" s="22" t="n"/>
    </row>
    <row r="75">
      <c r="A75" s="22" t="n"/>
      <c r="B75" s="22" t="n"/>
      <c r="D75" s="23" t="n"/>
      <c r="E75" s="23" t="n"/>
      <c r="H75" s="26" t="n"/>
      <c r="J75" s="23" t="n"/>
      <c r="K75" s="23" t="n"/>
      <c r="M75" s="22" t="n"/>
    </row>
    <row r="76">
      <c r="A76" s="22" t="n"/>
      <c r="B76" s="22" t="n"/>
      <c r="D76" s="23" t="n"/>
      <c r="E76" s="23" t="n"/>
      <c r="H76" s="26" t="n"/>
      <c r="J76" s="23" t="n"/>
      <c r="K76" s="23" t="n"/>
      <c r="M76" s="22" t="n"/>
    </row>
    <row r="77">
      <c r="A77" s="22" t="n"/>
      <c r="B77" s="22" t="n"/>
      <c r="D77" s="23" t="n"/>
      <c r="E77" s="23" t="n"/>
      <c r="H77" s="26" t="n"/>
      <c r="J77" s="23" t="n"/>
      <c r="K77" s="23" t="n"/>
      <c r="M77" s="22" t="n"/>
    </row>
    <row r="78">
      <c r="A78" s="22" t="n"/>
      <c r="B78" s="22" t="n"/>
      <c r="D78" s="23" t="n"/>
      <c r="E78" s="23" t="n"/>
      <c r="H78" s="26" t="n"/>
      <c r="J78" s="23" t="n"/>
      <c r="K78" s="23" t="n"/>
      <c r="M78" s="22" t="n"/>
    </row>
    <row r="79">
      <c r="A79" s="22" t="n"/>
      <c r="B79" s="22" t="n"/>
      <c r="D79" s="23" t="n"/>
      <c r="E79" s="23" t="n"/>
      <c r="H79" s="26" t="n"/>
      <c r="J79" s="23" t="n"/>
      <c r="K79" s="23" t="n"/>
      <c r="M79" s="22" t="n"/>
    </row>
    <row r="80">
      <c r="A80" s="22" t="n"/>
      <c r="B80" s="22" t="n"/>
      <c r="D80" s="23" t="n"/>
      <c r="E80" s="23" t="n"/>
      <c r="H80" s="26" t="n"/>
      <c r="J80" s="23" t="n"/>
      <c r="K80" s="23" t="n"/>
      <c r="M80" s="22" t="n"/>
    </row>
    <row r="81">
      <c r="A81" s="22" t="n"/>
      <c r="B81" s="22" t="n"/>
      <c r="D81" s="23" t="n"/>
      <c r="E81" s="23" t="n"/>
      <c r="H81" s="26" t="n"/>
      <c r="J81" s="23" t="n"/>
      <c r="K81" s="23" t="n"/>
      <c r="M81" s="22" t="n"/>
    </row>
    <row r="82">
      <c r="A82" s="22" t="n"/>
      <c r="B82" s="22" t="n"/>
      <c r="D82" s="23" t="n"/>
      <c r="E82" s="23" t="n"/>
      <c r="H82" s="26" t="n"/>
      <c r="J82" s="23" t="n"/>
      <c r="K82" s="23" t="n"/>
      <c r="M82" s="22" t="n"/>
    </row>
    <row r="83">
      <c r="A83" s="22" t="n"/>
      <c r="B83" s="22" t="n"/>
      <c r="D83" s="23" t="n"/>
      <c r="E83" s="23" t="n"/>
      <c r="H83" s="26" t="n"/>
      <c r="J83" s="23" t="n"/>
      <c r="K83" s="23" t="n"/>
      <c r="M83" s="22" t="n"/>
    </row>
    <row r="84">
      <c r="A84" s="22" t="n"/>
      <c r="B84" s="22" t="n"/>
      <c r="D84" s="23" t="n"/>
      <c r="E84" s="23" t="n"/>
      <c r="H84" s="26" t="n"/>
      <c r="J84" s="23" t="n"/>
      <c r="K84" s="23" t="n"/>
      <c r="M84" s="22" t="n"/>
    </row>
    <row r="85">
      <c r="A85" s="22" t="n"/>
      <c r="B85" s="22" t="n"/>
      <c r="D85" s="23" t="n"/>
      <c r="E85" s="23" t="n"/>
      <c r="H85" s="26" t="n"/>
      <c r="J85" s="23" t="n"/>
      <c r="K85" s="23" t="n"/>
      <c r="M85" s="22" t="n"/>
    </row>
    <row r="86">
      <c r="A86" s="22" t="n"/>
      <c r="B86" s="22" t="n"/>
      <c r="D86" s="23" t="n"/>
      <c r="E86" s="23" t="n"/>
      <c r="H86" s="26" t="n"/>
      <c r="J86" s="23" t="n"/>
      <c r="K86" s="23" t="n"/>
      <c r="M86" s="22" t="n"/>
    </row>
    <row r="87">
      <c r="A87" s="22" t="n"/>
      <c r="B87" s="22" t="n"/>
      <c r="D87" s="23" t="n"/>
      <c r="E87" s="23" t="n"/>
      <c r="H87" s="26" t="n"/>
      <c r="J87" s="23" t="n"/>
      <c r="K87" s="23" t="n"/>
      <c r="M87" s="22" t="n"/>
    </row>
    <row r="88">
      <c r="A88" s="22" t="n"/>
      <c r="B88" s="22" t="n"/>
      <c r="D88" s="23" t="n"/>
      <c r="E88" s="23" t="n"/>
      <c r="H88" s="26" t="n"/>
      <c r="J88" s="23" t="n"/>
      <c r="K88" s="23" t="n"/>
      <c r="M88" s="22" t="n"/>
    </row>
    <row r="89">
      <c r="A89" s="22" t="n"/>
      <c r="B89" s="22" t="n"/>
      <c r="D89" s="23" t="n"/>
      <c r="E89" s="23" t="n"/>
      <c r="H89" s="26" t="n"/>
      <c r="J89" s="23" t="n"/>
      <c r="K89" s="23" t="n"/>
      <c r="M89" s="22" t="n"/>
    </row>
    <row r="90">
      <c r="A90" s="22" t="n"/>
      <c r="B90" s="22" t="n"/>
      <c r="D90" s="23" t="n"/>
      <c r="E90" s="23" t="n"/>
      <c r="H90" s="26" t="n"/>
      <c r="J90" s="23" t="n"/>
      <c r="K90" s="23" t="n"/>
      <c r="M90" s="22" t="n"/>
    </row>
    <row r="91">
      <c r="A91" s="22" t="n"/>
      <c r="B91" s="22" t="n"/>
      <c r="D91" s="23" t="n"/>
      <c r="E91" s="23" t="n"/>
      <c r="H91" s="26" t="n"/>
      <c r="J91" s="23" t="n"/>
      <c r="K91" s="23" t="n"/>
      <c r="M91" s="22" t="n"/>
    </row>
    <row r="92">
      <c r="A92" s="22" t="n"/>
      <c r="B92" s="22" t="n"/>
      <c r="D92" s="23" t="n"/>
      <c r="E92" s="23" t="n"/>
      <c r="H92" s="26" t="n"/>
      <c r="J92" s="23" t="n"/>
      <c r="K92" s="23" t="n"/>
      <c r="M92" s="22" t="n"/>
    </row>
    <row r="93">
      <c r="A93" s="22" t="n"/>
      <c r="B93" s="22" t="n"/>
      <c r="D93" s="23" t="n"/>
      <c r="E93" s="23" t="n"/>
      <c r="H93" s="26" t="n"/>
      <c r="J93" s="23" t="n"/>
      <c r="K93" s="23" t="n"/>
      <c r="M93" s="22" t="n"/>
    </row>
    <row r="94">
      <c r="A94" s="22" t="n"/>
      <c r="B94" s="22" t="n"/>
      <c r="D94" s="23" t="n"/>
      <c r="E94" s="23" t="n"/>
      <c r="H94" s="26" t="n"/>
      <c r="J94" s="23" t="n"/>
      <c r="K94" s="23" t="n"/>
      <c r="M94" s="22" t="n"/>
    </row>
    <row r="95">
      <c r="A95" s="22" t="n"/>
      <c r="B95" s="22" t="n"/>
      <c r="D95" s="23" t="n"/>
      <c r="E95" s="23" t="n"/>
      <c r="H95" s="26" t="n"/>
      <c r="J95" s="23" t="n"/>
      <c r="K95" s="23" t="n"/>
      <c r="M95" s="22" t="n"/>
    </row>
    <row r="96">
      <c r="A96" s="22" t="n"/>
      <c r="B96" s="22" t="n"/>
      <c r="D96" s="23" t="n"/>
      <c r="E96" s="23" t="n"/>
      <c r="H96" s="26" t="n"/>
      <c r="J96" s="23" t="n"/>
      <c r="K96" s="23" t="n"/>
      <c r="M96" s="22" t="n"/>
    </row>
    <row r="97">
      <c r="A97" s="22" t="n"/>
      <c r="B97" s="22" t="n"/>
      <c r="D97" s="23" t="n"/>
      <c r="E97" s="23" t="n"/>
      <c r="H97" s="26" t="n"/>
      <c r="J97" s="23" t="n"/>
      <c r="K97" s="23" t="n"/>
      <c r="M97" s="22" t="n"/>
    </row>
    <row r="98">
      <c r="A98" s="22" t="n"/>
      <c r="B98" s="22" t="n"/>
      <c r="D98" s="23" t="n"/>
      <c r="E98" s="23" t="n"/>
      <c r="H98" s="26" t="n"/>
      <c r="J98" s="23" t="n"/>
      <c r="K98" s="23" t="n"/>
      <c r="M98" s="22" t="n"/>
    </row>
    <row r="99">
      <c r="A99" s="22" t="n"/>
      <c r="B99" s="22" t="n"/>
      <c r="D99" s="23" t="n"/>
      <c r="E99" s="23" t="n"/>
      <c r="H99" s="26" t="n"/>
      <c r="J99" s="23" t="n"/>
      <c r="K99" s="23" t="n"/>
      <c r="M99" s="22" t="n"/>
    </row>
    <row r="100">
      <c r="A100" s="22" t="n"/>
      <c r="B100" s="22" t="n"/>
      <c r="D100" s="23" t="n"/>
      <c r="E100" s="23" t="n"/>
      <c r="H100" s="26" t="n"/>
      <c r="J100" s="23" t="n"/>
      <c r="K100" s="23" t="n"/>
      <c r="M100" s="22" t="n"/>
    </row>
    <row r="101">
      <c r="A101" s="22" t="n"/>
      <c r="B101" s="22" t="n"/>
      <c r="D101" s="23" t="n"/>
      <c r="E101" s="23" t="n"/>
      <c r="H101" s="26" t="n"/>
      <c r="J101" s="23" t="n"/>
      <c r="K101" s="23" t="n"/>
      <c r="M101" s="22" t="n"/>
    </row>
    <row r="102">
      <c r="A102" s="22" t="n"/>
      <c r="B102" s="22" t="n"/>
      <c r="D102" s="23" t="n"/>
      <c r="E102" s="23" t="n"/>
      <c r="H102" s="26" t="n"/>
      <c r="J102" s="23" t="n"/>
      <c r="K102" s="23" t="n"/>
      <c r="M102" s="22" t="n"/>
    </row>
    <row r="103">
      <c r="A103" s="22" t="n"/>
      <c r="B103" s="22" t="n"/>
      <c r="D103" s="23" t="n"/>
      <c r="E103" s="23" t="n"/>
      <c r="H103" s="26" t="n"/>
      <c r="J103" s="23" t="n"/>
      <c r="K103" s="23" t="n"/>
      <c r="M103" s="22" t="n"/>
    </row>
    <row r="104">
      <c r="A104" s="22" t="n"/>
      <c r="B104" s="22" t="n"/>
      <c r="D104" s="23" t="n"/>
      <c r="E104" s="23" t="n"/>
      <c r="H104" s="26" t="n"/>
      <c r="J104" s="23" t="n"/>
      <c r="K104" s="23" t="n"/>
      <c r="M104" s="22" t="n"/>
    </row>
    <row r="105">
      <c r="A105" s="22" t="n"/>
      <c r="B105" s="22" t="n"/>
      <c r="D105" s="23" t="n"/>
      <c r="E105" s="23" t="n"/>
      <c r="H105" s="26" t="n"/>
      <c r="J105" s="23" t="n"/>
      <c r="K105" s="23" t="n"/>
      <c r="M105" s="22" t="n"/>
    </row>
    <row r="106">
      <c r="A106" s="22" t="n"/>
      <c r="B106" s="22" t="n"/>
      <c r="D106" s="23" t="n"/>
      <c r="E106" s="23" t="n"/>
      <c r="H106" s="26" t="n"/>
      <c r="J106" s="23" t="n"/>
      <c r="K106" s="23" t="n"/>
      <c r="M106" s="22" t="n"/>
    </row>
    <row r="107">
      <c r="A107" s="22" t="n"/>
      <c r="B107" s="22" t="n"/>
      <c r="D107" s="23" t="n"/>
      <c r="E107" s="23" t="n"/>
      <c r="H107" s="26" t="n"/>
      <c r="J107" s="23" t="n"/>
      <c r="K107" s="23" t="n"/>
      <c r="M107" s="22" t="n"/>
    </row>
    <row r="108">
      <c r="A108" s="22" t="n"/>
      <c r="B108" s="22" t="n"/>
      <c r="D108" s="23" t="n"/>
      <c r="E108" s="23" t="n"/>
      <c r="H108" s="26" t="n"/>
      <c r="J108" s="23" t="n"/>
      <c r="K108" s="23" t="n"/>
      <c r="M108" s="22" t="n"/>
    </row>
    <row r="109">
      <c r="A109" s="22" t="n"/>
      <c r="B109" s="22" t="n"/>
      <c r="D109" s="23" t="n"/>
      <c r="E109" s="23" t="n"/>
      <c r="H109" s="26" t="n"/>
      <c r="J109" s="23" t="n"/>
      <c r="K109" s="23" t="n"/>
      <c r="M109" s="22" t="n"/>
    </row>
    <row r="110">
      <c r="A110" s="22" t="n"/>
      <c r="B110" s="22" t="n"/>
      <c r="D110" s="23" t="n"/>
      <c r="E110" s="23" t="n"/>
      <c r="H110" s="26" t="n"/>
      <c r="J110" s="23" t="n"/>
      <c r="K110" s="23" t="n"/>
      <c r="M110" s="22" t="n"/>
    </row>
    <row r="111">
      <c r="A111" s="22" t="n"/>
      <c r="B111" s="22" t="n"/>
      <c r="D111" s="23" t="n"/>
      <c r="E111" s="23" t="n"/>
      <c r="H111" s="26" t="n"/>
      <c r="J111" s="23" t="n"/>
      <c r="K111" s="23" t="n"/>
      <c r="M111" s="22" t="n"/>
    </row>
    <row r="112">
      <c r="A112" s="22" t="n"/>
      <c r="B112" s="22" t="n"/>
      <c r="D112" s="23" t="n"/>
      <c r="E112" s="23" t="n"/>
      <c r="H112" s="26" t="n"/>
      <c r="J112" s="23" t="n"/>
      <c r="K112" s="23" t="n"/>
      <c r="M112" s="22" t="n"/>
    </row>
    <row r="113">
      <c r="A113" s="22" t="n"/>
      <c r="B113" s="22" t="n"/>
      <c r="D113" s="23" t="n"/>
      <c r="E113" s="23" t="n"/>
      <c r="H113" s="26" t="n"/>
      <c r="J113" s="23" t="n"/>
      <c r="K113" s="23" t="n"/>
      <c r="M113" s="22" t="n"/>
    </row>
    <row r="114">
      <c r="A114" s="22" t="n"/>
      <c r="B114" s="22" t="n"/>
      <c r="D114" s="23" t="n"/>
      <c r="E114" s="23" t="n"/>
      <c r="H114" s="26" t="n"/>
      <c r="J114" s="23" t="n"/>
      <c r="K114" s="23" t="n"/>
      <c r="M114" s="22" t="n"/>
    </row>
    <row r="115">
      <c r="A115" s="22" t="n"/>
      <c r="B115" s="22" t="n"/>
      <c r="D115" s="23" t="n"/>
      <c r="E115" s="23" t="n"/>
      <c r="H115" s="26" t="n"/>
      <c r="J115" s="23" t="n"/>
      <c r="K115" s="23" t="n"/>
      <c r="M115" s="22" t="n"/>
    </row>
    <row r="116">
      <c r="A116" s="22" t="n"/>
      <c r="B116" s="22" t="n"/>
      <c r="D116" s="23" t="n"/>
      <c r="E116" s="23" t="n"/>
      <c r="H116" s="26" t="n"/>
      <c r="J116" s="23" t="n"/>
      <c r="K116" s="23" t="n"/>
      <c r="M116" s="22" t="n"/>
    </row>
    <row r="117">
      <c r="A117" s="22" t="n"/>
      <c r="B117" s="22" t="n"/>
      <c r="D117" s="23" t="n"/>
      <c r="E117" s="23" t="n"/>
      <c r="H117" s="26" t="n"/>
      <c r="J117" s="23" t="n"/>
      <c r="K117" s="23" t="n"/>
      <c r="M117" s="22" t="n"/>
    </row>
    <row r="118">
      <c r="A118" s="22" t="n"/>
      <c r="B118" s="22" t="n"/>
      <c r="D118" s="23" t="n"/>
      <c r="E118" s="23" t="n"/>
      <c r="H118" s="26" t="n"/>
      <c r="J118" s="23" t="n"/>
      <c r="K118" s="23" t="n"/>
      <c r="M118" s="22" t="n"/>
    </row>
    <row r="119">
      <c r="A119" s="22" t="n"/>
      <c r="B119" s="22" t="n"/>
      <c r="D119" s="23" t="n"/>
      <c r="E119" s="23" t="n"/>
      <c r="H119" s="26" t="n"/>
      <c r="J119" s="23" t="n"/>
      <c r="K119" s="23" t="n"/>
      <c r="M119" s="22" t="n"/>
    </row>
    <row r="120">
      <c r="A120" s="22" t="n"/>
      <c r="B120" s="22" t="n"/>
      <c r="D120" s="23" t="n"/>
      <c r="E120" s="23" t="n"/>
      <c r="H120" s="26" t="n"/>
      <c r="J120" s="23" t="n"/>
      <c r="K120" s="23" t="n"/>
      <c r="M120" s="22" t="n"/>
    </row>
    <row r="121">
      <c r="A121" s="22" t="n"/>
      <c r="B121" s="22" t="n"/>
      <c r="D121" s="23" t="n"/>
      <c r="E121" s="23" t="n"/>
      <c r="H121" s="26" t="n"/>
      <c r="J121" s="23" t="n"/>
      <c r="K121" s="23" t="n"/>
      <c r="M121" s="22" t="n"/>
    </row>
    <row r="122">
      <c r="A122" s="22" t="n"/>
      <c r="B122" s="22" t="n"/>
      <c r="D122" s="23" t="n"/>
      <c r="E122" s="23" t="n"/>
      <c r="H122" s="26" t="n"/>
      <c r="J122" s="23" t="n"/>
      <c r="K122" s="23" t="n"/>
      <c r="M122" s="22" t="n"/>
    </row>
    <row r="123">
      <c r="A123" s="22" t="n"/>
      <c r="B123" s="22" t="n"/>
      <c r="D123" s="23" t="n"/>
      <c r="E123" s="23" t="n"/>
      <c r="H123" s="26" t="n"/>
      <c r="J123" s="23" t="n"/>
      <c r="K123" s="23" t="n"/>
      <c r="M123" s="22" t="n"/>
    </row>
    <row r="124">
      <c r="A124" s="22" t="n"/>
      <c r="B124" s="22" t="n"/>
      <c r="D124" s="23" t="n"/>
      <c r="E124" s="23" t="n"/>
      <c r="H124" s="26" t="n"/>
      <c r="J124" s="23" t="n"/>
      <c r="K124" s="23" t="n"/>
      <c r="M124" s="22" t="n"/>
    </row>
    <row r="125">
      <c r="A125" s="22" t="n"/>
      <c r="B125" s="22" t="n"/>
      <c r="D125" s="23" t="n"/>
      <c r="E125" s="23" t="n"/>
      <c r="H125" s="26" t="n"/>
      <c r="J125" s="23" t="n"/>
      <c r="K125" s="23" t="n"/>
      <c r="M125" s="22" t="n"/>
    </row>
    <row r="126">
      <c r="A126" s="22" t="n"/>
      <c r="B126" s="22" t="n"/>
      <c r="D126" s="23" t="n"/>
      <c r="E126" s="23" t="n"/>
      <c r="H126" s="26" t="n"/>
      <c r="J126" s="23" t="n"/>
      <c r="K126" s="23" t="n"/>
      <c r="M126" s="22" t="n"/>
    </row>
    <row r="127">
      <c r="A127" s="22" t="n"/>
      <c r="B127" s="22" t="n"/>
      <c r="D127" s="23" t="n"/>
      <c r="E127" s="23" t="n"/>
      <c r="H127" s="26" t="n"/>
      <c r="J127" s="23" t="n"/>
      <c r="K127" s="23" t="n"/>
      <c r="M127" s="22" t="n"/>
    </row>
    <row r="128">
      <c r="A128" s="22" t="n"/>
      <c r="B128" s="22" t="n"/>
      <c r="D128" s="23" t="n"/>
      <c r="E128" s="23" t="n"/>
      <c r="H128" s="26" t="n"/>
      <c r="J128" s="23" t="n"/>
      <c r="K128" s="23" t="n"/>
      <c r="M128" s="22" t="n"/>
    </row>
    <row r="129">
      <c r="A129" s="22" t="n"/>
      <c r="B129" s="22" t="n"/>
      <c r="D129" s="23" t="n"/>
      <c r="E129" s="23" t="n"/>
      <c r="H129" s="26" t="n"/>
      <c r="J129" s="23" t="n"/>
      <c r="K129" s="23" t="n"/>
      <c r="M129" s="22" t="n"/>
    </row>
    <row r="130">
      <c r="A130" s="22" t="n"/>
      <c r="B130" s="22" t="n"/>
      <c r="D130" s="23" t="n"/>
      <c r="E130" s="23" t="n"/>
      <c r="H130" s="26" t="n"/>
      <c r="J130" s="23" t="n"/>
      <c r="K130" s="23" t="n"/>
      <c r="M130" s="22" t="n"/>
    </row>
    <row r="131">
      <c r="A131" s="22" t="n"/>
      <c r="B131" s="22" t="n"/>
      <c r="D131" s="23" t="n"/>
      <c r="E131" s="23" t="n"/>
      <c r="H131" s="26" t="n"/>
      <c r="J131" s="23" t="n"/>
      <c r="K131" s="23" t="n"/>
      <c r="M131" s="22" t="n"/>
    </row>
    <row r="132">
      <c r="A132" s="22" t="n"/>
      <c r="B132" s="22" t="n"/>
      <c r="D132" s="23" t="n"/>
      <c r="E132" s="23" t="n"/>
      <c r="H132" s="26" t="n"/>
      <c r="J132" s="23" t="n"/>
      <c r="K132" s="23" t="n"/>
      <c r="M132" s="22" t="n"/>
    </row>
    <row r="133">
      <c r="A133" s="22" t="n"/>
      <c r="B133" s="22" t="n"/>
      <c r="D133" s="23" t="n"/>
      <c r="E133" s="23" t="n"/>
      <c r="H133" s="26" t="n"/>
      <c r="J133" s="23" t="n"/>
      <c r="K133" s="23" t="n"/>
      <c r="M133" s="22" t="n"/>
    </row>
    <row r="134">
      <c r="A134" s="22" t="n"/>
      <c r="B134" s="22" t="n"/>
      <c r="D134" s="23" t="n"/>
      <c r="E134" s="23" t="n"/>
      <c r="H134" s="26" t="n"/>
      <c r="J134" s="23" t="n"/>
      <c r="K134" s="23" t="n"/>
      <c r="M134" s="22" t="n"/>
    </row>
    <row r="135">
      <c r="A135" s="22" t="n"/>
      <c r="B135" s="22" t="n"/>
      <c r="D135" s="23" t="n"/>
      <c r="E135" s="23" t="n"/>
      <c r="H135" s="26" t="n"/>
      <c r="J135" s="23" t="n"/>
      <c r="K135" s="23" t="n"/>
      <c r="M135" s="22" t="n"/>
    </row>
    <row r="136">
      <c r="A136" s="22" t="n"/>
      <c r="B136" s="22" t="n"/>
      <c r="D136" s="23" t="n"/>
      <c r="E136" s="23" t="n"/>
      <c r="H136" s="26" t="n"/>
      <c r="J136" s="23" t="n"/>
      <c r="K136" s="23" t="n"/>
      <c r="M136" s="22" t="n"/>
    </row>
    <row r="137">
      <c r="A137" s="22" t="n"/>
      <c r="B137" s="22" t="n"/>
      <c r="D137" s="23" t="n"/>
      <c r="E137" s="23" t="n"/>
      <c r="H137" s="26" t="n"/>
      <c r="J137" s="23" t="n"/>
      <c r="K137" s="23" t="n"/>
      <c r="M137" s="22" t="n"/>
    </row>
    <row r="138">
      <c r="A138" s="22" t="n"/>
      <c r="B138" s="22" t="n"/>
      <c r="D138" s="23" t="n"/>
      <c r="E138" s="23" t="n"/>
      <c r="H138" s="26" t="n"/>
      <c r="J138" s="23" t="n"/>
      <c r="K138" s="23" t="n"/>
      <c r="M138" s="22" t="n"/>
    </row>
    <row r="139">
      <c r="A139" s="22" t="n"/>
      <c r="B139" s="22" t="n"/>
      <c r="D139" s="23" t="n"/>
      <c r="E139" s="23" t="n"/>
      <c r="H139" s="26" t="n"/>
      <c r="J139" s="23" t="n"/>
      <c r="K139" s="23" t="n"/>
      <c r="M139" s="22" t="n"/>
    </row>
    <row r="140">
      <c r="A140" s="22" t="n"/>
      <c r="B140" s="22" t="n"/>
      <c r="D140" s="23" t="n"/>
      <c r="E140" s="23" t="n"/>
      <c r="H140" s="26" t="n"/>
      <c r="J140" s="23" t="n"/>
      <c r="K140" s="23" t="n"/>
      <c r="M140" s="22" t="n"/>
    </row>
    <row r="141">
      <c r="A141" s="22" t="n"/>
      <c r="B141" s="22" t="n"/>
      <c r="D141" s="23" t="n"/>
      <c r="E141" s="23" t="n"/>
      <c r="H141" s="26" t="n"/>
      <c r="J141" s="23" t="n"/>
      <c r="K141" s="23" t="n"/>
      <c r="M141" s="22" t="n"/>
    </row>
    <row r="142">
      <c r="A142" s="22" t="n"/>
      <c r="B142" s="22" t="n"/>
      <c r="D142" s="23" t="n"/>
      <c r="E142" s="23" t="n"/>
      <c r="H142" s="26" t="n"/>
      <c r="J142" s="23" t="n"/>
      <c r="K142" s="23" t="n"/>
      <c r="M142" s="22" t="n"/>
    </row>
    <row r="143">
      <c r="A143" s="22" t="n"/>
      <c r="B143" s="22" t="n"/>
      <c r="D143" s="23" t="n"/>
      <c r="E143" s="23" t="n"/>
      <c r="H143" s="26" t="n"/>
      <c r="J143" s="23" t="n"/>
      <c r="K143" s="23" t="n"/>
      <c r="M143" s="22" t="n"/>
    </row>
    <row r="144">
      <c r="A144" s="22" t="n"/>
      <c r="B144" s="22" t="n"/>
      <c r="D144" s="23" t="n"/>
      <c r="E144" s="23" t="n"/>
      <c r="H144" s="26" t="n"/>
      <c r="J144" s="23" t="n"/>
      <c r="K144" s="23" t="n"/>
      <c r="M144" s="22" t="n"/>
    </row>
    <row r="145">
      <c r="A145" s="22" t="n"/>
      <c r="B145" s="22" t="n"/>
      <c r="D145" s="23" t="n"/>
      <c r="E145" s="23" t="n"/>
      <c r="H145" s="26" t="n"/>
      <c r="J145" s="23" t="n"/>
      <c r="K145" s="23" t="n"/>
      <c r="M145" s="22" t="n"/>
    </row>
    <row r="146">
      <c r="A146" s="22" t="n"/>
      <c r="B146" s="22" t="n"/>
      <c r="D146" s="23" t="n"/>
      <c r="E146" s="23" t="n"/>
      <c r="H146" s="26" t="n"/>
      <c r="J146" s="23" t="n"/>
      <c r="K146" s="23" t="n"/>
      <c r="M146" s="22" t="n"/>
    </row>
    <row r="147">
      <c r="A147" s="22" t="n"/>
      <c r="B147" s="22" t="n"/>
      <c r="D147" s="23" t="n"/>
      <c r="E147" s="23" t="n"/>
      <c r="H147" s="26" t="n"/>
      <c r="J147" s="23" t="n"/>
      <c r="K147" s="23" t="n"/>
      <c r="M147" s="22" t="n"/>
    </row>
    <row r="148">
      <c r="A148" s="22" t="n"/>
      <c r="B148" s="22" t="n"/>
      <c r="D148" s="23" t="n"/>
      <c r="E148" s="23" t="n"/>
      <c r="H148" s="26" t="n"/>
      <c r="J148" s="23" t="n"/>
      <c r="K148" s="23" t="n"/>
      <c r="M148" s="22" t="n"/>
    </row>
    <row r="149">
      <c r="A149" s="22" t="n"/>
      <c r="B149" s="22" t="n"/>
      <c r="D149" s="23" t="n"/>
      <c r="E149" s="23" t="n"/>
      <c r="H149" s="26" t="n"/>
      <c r="J149" s="23" t="n"/>
      <c r="K149" s="23" t="n"/>
      <c r="M149" s="22" t="n"/>
    </row>
    <row r="150">
      <c r="A150" s="22" t="n"/>
      <c r="B150" s="22" t="n"/>
      <c r="D150" s="23" t="n"/>
      <c r="E150" s="23" t="n"/>
      <c r="H150" s="26" t="n"/>
      <c r="J150" s="23" t="n"/>
      <c r="K150" s="23" t="n"/>
      <c r="M150" s="22" t="n"/>
    </row>
    <row r="151">
      <c r="A151" s="22" t="n"/>
      <c r="B151" s="22" t="n"/>
      <c r="D151" s="23" t="n"/>
      <c r="E151" s="23" t="n"/>
      <c r="H151" s="26" t="n"/>
      <c r="J151" s="23" t="n"/>
      <c r="K151" s="23" t="n"/>
      <c r="M151" s="22" t="n"/>
    </row>
    <row r="152">
      <c r="A152" s="22" t="n"/>
      <c r="B152" s="22" t="n"/>
      <c r="D152" s="23" t="n"/>
      <c r="E152" s="23" t="n"/>
      <c r="H152" s="26" t="n"/>
      <c r="J152" s="23" t="n"/>
      <c r="K152" s="23" t="n"/>
      <c r="M152" s="22" t="n"/>
    </row>
    <row r="153">
      <c r="A153" s="22" t="n"/>
      <c r="B153" s="22" t="n"/>
      <c r="D153" s="23" t="n"/>
      <c r="E153" s="23" t="n"/>
      <c r="H153" s="26" t="n"/>
      <c r="J153" s="23" t="n"/>
      <c r="K153" s="23" t="n"/>
      <c r="M153" s="22" t="n"/>
    </row>
    <row r="154">
      <c r="A154" s="22" t="n"/>
      <c r="B154" s="22" t="n"/>
      <c r="D154" s="23" t="n"/>
      <c r="E154" s="23" t="n"/>
      <c r="H154" s="26" t="n"/>
      <c r="J154" s="23" t="n"/>
      <c r="K154" s="23" t="n"/>
      <c r="M154" s="22" t="n"/>
    </row>
    <row r="155">
      <c r="A155" s="22" t="n"/>
      <c r="B155" s="22" t="n"/>
      <c r="D155" s="23" t="n"/>
      <c r="E155" s="23" t="n"/>
      <c r="H155" s="26" t="n"/>
      <c r="J155" s="23" t="n"/>
      <c r="K155" s="23" t="n"/>
      <c r="M155" s="22" t="n"/>
    </row>
    <row r="156">
      <c r="A156" s="22" t="n"/>
      <c r="B156" s="22" t="n"/>
      <c r="D156" s="23" t="n"/>
      <c r="E156" s="23" t="n"/>
      <c r="H156" s="26" t="n"/>
      <c r="J156" s="23" t="n"/>
      <c r="K156" s="23" t="n"/>
      <c r="M156" s="22" t="n"/>
    </row>
    <row r="157">
      <c r="A157" s="22" t="n"/>
      <c r="B157" s="22" t="n"/>
      <c r="D157" s="23" t="n"/>
      <c r="E157" s="23" t="n"/>
      <c r="H157" s="26" t="n"/>
      <c r="J157" s="23" t="n"/>
      <c r="K157" s="23" t="n"/>
      <c r="M157" s="22" t="n"/>
    </row>
    <row r="158">
      <c r="A158" s="22" t="n"/>
      <c r="B158" s="22" t="n"/>
      <c r="D158" s="23" t="n"/>
      <c r="E158" s="23" t="n"/>
      <c r="H158" s="26" t="n"/>
      <c r="J158" s="23" t="n"/>
      <c r="K158" s="23" t="n"/>
      <c r="M158" s="22" t="n"/>
    </row>
    <row r="159">
      <c r="A159" s="22" t="n"/>
      <c r="B159" s="22" t="n"/>
      <c r="D159" s="23" t="n"/>
      <c r="E159" s="23" t="n"/>
      <c r="H159" s="26" t="n"/>
      <c r="J159" s="23" t="n"/>
      <c r="K159" s="23" t="n"/>
      <c r="M159" s="22" t="n"/>
    </row>
    <row r="160">
      <c r="A160" s="22" t="n"/>
      <c r="B160" s="22" t="n"/>
      <c r="D160" s="23" t="n"/>
      <c r="E160" s="23" t="n"/>
      <c r="H160" s="26" t="n"/>
      <c r="J160" s="23" t="n"/>
      <c r="K160" s="23" t="n"/>
      <c r="M160" s="22" t="n"/>
    </row>
    <row r="161">
      <c r="A161" s="22" t="n"/>
      <c r="B161" s="22" t="n"/>
      <c r="D161" s="23" t="n"/>
      <c r="E161" s="23" t="n"/>
      <c r="H161" s="26" t="n"/>
      <c r="J161" s="23" t="n"/>
      <c r="K161" s="23" t="n"/>
      <c r="M161" s="22" t="n"/>
    </row>
    <row r="162">
      <c r="A162" s="22" t="n"/>
      <c r="B162" s="22" t="n"/>
      <c r="D162" s="23" t="n"/>
      <c r="E162" s="23" t="n"/>
      <c r="H162" s="26" t="n"/>
      <c r="J162" s="23" t="n"/>
      <c r="K162" s="23" t="n"/>
      <c r="M162" s="22" t="n"/>
    </row>
    <row r="163">
      <c r="A163" s="22" t="n"/>
      <c r="B163" s="22" t="n"/>
      <c r="D163" s="23" t="n"/>
      <c r="E163" s="23" t="n"/>
      <c r="H163" s="26" t="n"/>
      <c r="J163" s="23" t="n"/>
      <c r="K163" s="23" t="n"/>
      <c r="M163" s="22" t="n"/>
    </row>
    <row r="164">
      <c r="A164" s="22" t="n"/>
      <c r="B164" s="22" t="n"/>
      <c r="D164" s="23" t="n"/>
      <c r="E164" s="23" t="n"/>
      <c r="H164" s="26" t="n"/>
      <c r="J164" s="23" t="n"/>
      <c r="K164" s="23" t="n"/>
      <c r="M164" s="22" t="n"/>
    </row>
    <row r="165">
      <c r="A165" s="22" t="n"/>
      <c r="B165" s="22" t="n"/>
      <c r="D165" s="23" t="n"/>
      <c r="E165" s="23" t="n"/>
      <c r="H165" s="26" t="n"/>
      <c r="J165" s="23" t="n"/>
      <c r="K165" s="23" t="n"/>
      <c r="M165" s="22" t="n"/>
    </row>
    <row r="166">
      <c r="A166" s="22" t="n"/>
      <c r="B166" s="22" t="n"/>
      <c r="D166" s="23" t="n"/>
      <c r="E166" s="23" t="n"/>
      <c r="H166" s="26" t="n"/>
      <c r="J166" s="23" t="n"/>
      <c r="K166" s="23" t="n"/>
      <c r="M166" s="22" t="n"/>
    </row>
    <row r="167">
      <c r="A167" s="22" t="n"/>
      <c r="B167" s="22" t="n"/>
      <c r="D167" s="23" t="n"/>
      <c r="E167" s="23" t="n"/>
      <c r="H167" s="26" t="n"/>
      <c r="J167" s="23" t="n"/>
      <c r="K167" s="23" t="n"/>
      <c r="M167" s="22" t="n"/>
    </row>
    <row r="168">
      <c r="A168" s="22" t="n"/>
      <c r="B168" s="22" t="n"/>
      <c r="D168" s="23" t="n"/>
      <c r="E168" s="23" t="n"/>
      <c r="H168" s="26" t="n"/>
      <c r="J168" s="23" t="n"/>
      <c r="K168" s="23" t="n"/>
      <c r="M168" s="22" t="n"/>
    </row>
    <row r="169">
      <c r="A169" s="22" t="n"/>
      <c r="B169" s="22" t="n"/>
      <c r="D169" s="23" t="n"/>
      <c r="E169" s="23" t="n"/>
      <c r="H169" s="26" t="n"/>
      <c r="J169" s="23" t="n"/>
      <c r="K169" s="23" t="n"/>
      <c r="M169" s="22" t="n"/>
    </row>
    <row r="170">
      <c r="A170" s="22" t="n"/>
      <c r="B170" s="22" t="n"/>
      <c r="D170" s="23" t="n"/>
      <c r="E170" s="23" t="n"/>
      <c r="H170" s="26" t="n"/>
      <c r="J170" s="23" t="n"/>
      <c r="K170" s="23" t="n"/>
      <c r="M170" s="22" t="n"/>
    </row>
    <row r="171">
      <c r="A171" s="22" t="n"/>
      <c r="B171" s="22" t="n"/>
      <c r="D171" s="23" t="n"/>
      <c r="E171" s="23" t="n"/>
      <c r="H171" s="26" t="n"/>
      <c r="J171" s="23" t="n"/>
      <c r="K171" s="23" t="n"/>
      <c r="M171" s="22" t="n"/>
    </row>
    <row r="172">
      <c r="A172" s="22" t="n"/>
      <c r="B172" s="22" t="n"/>
      <c r="D172" s="23" t="n"/>
      <c r="E172" s="23" t="n"/>
      <c r="H172" s="26" t="n"/>
      <c r="J172" s="23" t="n"/>
      <c r="K172" s="23" t="n"/>
      <c r="M172" s="22" t="n"/>
    </row>
    <row r="173">
      <c r="A173" s="22" t="n"/>
      <c r="B173" s="22" t="n"/>
      <c r="D173" s="23" t="n"/>
      <c r="E173" s="23" t="n"/>
      <c r="H173" s="26" t="n"/>
      <c r="J173" s="23" t="n"/>
      <c r="K173" s="23" t="n"/>
      <c r="M173" s="22" t="n"/>
    </row>
    <row r="174">
      <c r="A174" s="22" t="n"/>
      <c r="B174" s="22" t="n"/>
      <c r="D174" s="23" t="n"/>
      <c r="E174" s="23" t="n"/>
      <c r="H174" s="26" t="n"/>
      <c r="J174" s="23" t="n"/>
      <c r="K174" s="23" t="n"/>
      <c r="M174" s="22" t="n"/>
    </row>
    <row r="175">
      <c r="A175" s="22" t="n"/>
      <c r="B175" s="22" t="n"/>
      <c r="D175" s="23" t="n"/>
      <c r="E175" s="23" t="n"/>
      <c r="H175" s="26" t="n"/>
      <c r="J175" s="23" t="n"/>
      <c r="K175" s="23" t="n"/>
      <c r="M175" s="22" t="n"/>
    </row>
    <row r="176">
      <c r="A176" s="22" t="n"/>
      <c r="B176" s="22" t="n"/>
      <c r="D176" s="23" t="n"/>
      <c r="E176" s="23" t="n"/>
      <c r="H176" s="26" t="n"/>
      <c r="J176" s="23" t="n"/>
      <c r="K176" s="23" t="n"/>
      <c r="M176" s="22" t="n"/>
    </row>
    <row r="177">
      <c r="A177" s="22" t="n"/>
      <c r="B177" s="22" t="n"/>
      <c r="D177" s="23" t="n"/>
      <c r="E177" s="23" t="n"/>
      <c r="H177" s="26" t="n"/>
      <c r="J177" s="23" t="n"/>
      <c r="K177" s="23" t="n"/>
      <c r="M177" s="22" t="n"/>
    </row>
    <row r="178">
      <c r="A178" s="22" t="n"/>
      <c r="B178" s="22" t="n"/>
      <c r="D178" s="23" t="n"/>
      <c r="E178" s="23" t="n"/>
      <c r="H178" s="26" t="n"/>
      <c r="J178" s="23" t="n"/>
      <c r="K178" s="23" t="n"/>
      <c r="M178" s="22" t="n"/>
    </row>
    <row r="179">
      <c r="A179" s="22" t="n"/>
      <c r="B179" s="22" t="n"/>
      <c r="D179" s="23" t="n"/>
      <c r="E179" s="23" t="n"/>
      <c r="H179" s="26" t="n"/>
      <c r="J179" s="23" t="n"/>
      <c r="K179" s="23" t="n"/>
      <c r="M179" s="22" t="n"/>
    </row>
    <row r="180">
      <c r="A180" s="22" t="n"/>
      <c r="B180" s="22" t="n"/>
      <c r="D180" s="23" t="n"/>
      <c r="E180" s="23" t="n"/>
      <c r="H180" s="26" t="n"/>
      <c r="J180" s="23" t="n"/>
      <c r="K180" s="23" t="n"/>
      <c r="M180" s="22" t="n"/>
    </row>
    <row r="181">
      <c r="A181" s="22" t="n"/>
      <c r="B181" s="22" t="n"/>
      <c r="D181" s="23" t="n"/>
      <c r="E181" s="23" t="n"/>
      <c r="H181" s="26" t="n"/>
      <c r="J181" s="23" t="n"/>
      <c r="K181" s="23" t="n"/>
      <c r="M181" s="22" t="n"/>
    </row>
    <row r="182">
      <c r="A182" s="22" t="n"/>
      <c r="B182" s="22" t="n"/>
      <c r="D182" s="23" t="n"/>
      <c r="E182" s="23" t="n"/>
      <c r="H182" s="26" t="n"/>
      <c r="J182" s="23" t="n"/>
      <c r="K182" s="23" t="n"/>
      <c r="M182" s="22" t="n"/>
    </row>
    <row r="183">
      <c r="A183" s="22" t="n"/>
      <c r="B183" s="22" t="n"/>
      <c r="D183" s="23" t="n"/>
      <c r="E183" s="23" t="n"/>
      <c r="H183" s="26" t="n"/>
      <c r="J183" s="23" t="n"/>
      <c r="K183" s="23" t="n"/>
      <c r="M183" s="22" t="n"/>
    </row>
    <row r="184">
      <c r="A184" s="22" t="n"/>
      <c r="B184" s="22" t="n"/>
      <c r="D184" s="23" t="n"/>
      <c r="E184" s="23" t="n"/>
      <c r="H184" s="26" t="n"/>
      <c r="J184" s="23" t="n"/>
      <c r="K184" s="23" t="n"/>
      <c r="M184" s="22" t="n"/>
    </row>
    <row r="185">
      <c r="A185" s="22" t="n"/>
      <c r="B185" s="22" t="n"/>
      <c r="D185" s="23" t="n"/>
      <c r="E185" s="23" t="n"/>
      <c r="H185" s="26" t="n"/>
      <c r="J185" s="23" t="n"/>
      <c r="K185" s="23" t="n"/>
      <c r="M185" s="22" t="n"/>
    </row>
    <row r="186">
      <c r="A186" s="22" t="n"/>
      <c r="B186" s="22" t="n"/>
      <c r="D186" s="23" t="n"/>
      <c r="E186" s="23" t="n"/>
      <c r="H186" s="26" t="n"/>
      <c r="J186" s="23" t="n"/>
      <c r="K186" s="23" t="n"/>
      <c r="M186" s="22" t="n"/>
    </row>
    <row r="187">
      <c r="A187" s="22" t="n"/>
      <c r="B187" s="22" t="n"/>
      <c r="D187" s="23" t="n"/>
      <c r="E187" s="23" t="n"/>
      <c r="H187" s="26" t="n"/>
      <c r="J187" s="23" t="n"/>
      <c r="K187" s="23" t="n"/>
      <c r="M187" s="22" t="n"/>
    </row>
    <row r="188">
      <c r="A188" s="22" t="n"/>
      <c r="B188" s="22" t="n"/>
      <c r="D188" s="23" t="n"/>
      <c r="E188" s="23" t="n"/>
      <c r="H188" s="26" t="n"/>
      <c r="J188" s="23" t="n"/>
      <c r="K188" s="23" t="n"/>
      <c r="M188" s="22" t="n"/>
    </row>
    <row r="189">
      <c r="A189" s="22" t="n"/>
      <c r="B189" s="22" t="n"/>
      <c r="D189" s="23" t="n"/>
      <c r="E189" s="23" t="n"/>
      <c r="H189" s="26" t="n"/>
      <c r="J189" s="23" t="n"/>
      <c r="K189" s="23" t="n"/>
      <c r="M189" s="22" t="n"/>
    </row>
    <row r="190">
      <c r="A190" s="22" t="n"/>
      <c r="B190" s="22" t="n"/>
      <c r="D190" s="23" t="n"/>
      <c r="E190" s="23" t="n"/>
      <c r="H190" s="26" t="n"/>
      <c r="J190" s="23" t="n"/>
      <c r="K190" s="23" t="n"/>
      <c r="M190" s="22" t="n"/>
    </row>
    <row r="191">
      <c r="A191" s="22" t="n"/>
      <c r="B191" s="22" t="n"/>
      <c r="D191" s="23" t="n"/>
      <c r="E191" s="23" t="n"/>
      <c r="H191" s="26" t="n"/>
      <c r="J191" s="23" t="n"/>
      <c r="K191" s="23" t="n"/>
      <c r="M191" s="22" t="n"/>
    </row>
    <row r="192">
      <c r="A192" s="22" t="n"/>
      <c r="B192" s="22" t="n"/>
      <c r="D192" s="23" t="n"/>
      <c r="E192" s="23" t="n"/>
      <c r="H192" s="26" t="n"/>
      <c r="J192" s="23" t="n"/>
      <c r="K192" s="23" t="n"/>
      <c r="M192" s="22" t="n"/>
    </row>
    <row r="193">
      <c r="A193" s="22" t="n"/>
      <c r="B193" s="22" t="n"/>
      <c r="D193" s="23" t="n"/>
      <c r="E193" s="23" t="n"/>
      <c r="H193" s="26" t="n"/>
      <c r="J193" s="23" t="n"/>
      <c r="K193" s="23" t="n"/>
      <c r="M193" s="22" t="n"/>
    </row>
    <row r="194">
      <c r="A194" s="22" t="n"/>
      <c r="B194" s="22" t="n"/>
      <c r="D194" s="23" t="n"/>
      <c r="E194" s="23" t="n"/>
      <c r="H194" s="26" t="n"/>
      <c r="J194" s="23" t="n"/>
      <c r="K194" s="23" t="n"/>
      <c r="M194" s="22" t="n"/>
    </row>
    <row r="195">
      <c r="A195" s="22" t="n"/>
      <c r="B195" s="22" t="n"/>
      <c r="D195" s="23" t="n"/>
      <c r="E195" s="23" t="n"/>
      <c r="H195" s="26" t="n"/>
      <c r="J195" s="23" t="n"/>
      <c r="K195" s="23" t="n"/>
      <c r="M195" s="22" t="n"/>
    </row>
    <row r="196">
      <c r="A196" s="22" t="n"/>
      <c r="B196" s="22" t="n"/>
      <c r="D196" s="23" t="n"/>
      <c r="E196" s="23" t="n"/>
      <c r="H196" s="26" t="n"/>
      <c r="J196" s="23" t="n"/>
      <c r="K196" s="23" t="n"/>
      <c r="M196" s="22" t="n"/>
    </row>
    <row r="197">
      <c r="A197" s="22" t="n"/>
      <c r="B197" s="22" t="n"/>
      <c r="D197" s="23" t="n"/>
      <c r="E197" s="23" t="n"/>
      <c r="H197" s="26" t="n"/>
      <c r="J197" s="23" t="n"/>
      <c r="K197" s="23" t="n"/>
      <c r="M197" s="22" t="n"/>
    </row>
    <row r="198">
      <c r="A198" s="22" t="n"/>
      <c r="B198" s="22" t="n"/>
      <c r="D198" s="23" t="n"/>
      <c r="E198" s="23" t="n"/>
      <c r="H198" s="26" t="n"/>
      <c r="J198" s="23" t="n"/>
      <c r="K198" s="23" t="n"/>
      <c r="M198" s="22" t="n"/>
    </row>
    <row r="199">
      <c r="A199" s="22" t="n"/>
      <c r="B199" s="22" t="n"/>
      <c r="D199" s="23" t="n"/>
      <c r="E199" s="23" t="n"/>
      <c r="H199" s="26" t="n"/>
      <c r="J199" s="23" t="n"/>
      <c r="K199" s="23" t="n"/>
      <c r="M199" s="22" t="n"/>
    </row>
  </sheetData>
  <dataValidations count="2">
    <dataValidation sqref="I2:I1000" showDropDown="0" showInputMessage="0" showErrorMessage="0" allowBlank="1" errorTitle="Not in list" error="Pick a value from the list" type="list">
      <formula1>"Draft,Ready for review,Sent,Paid,Void"</formula1>
    </dataValidation>
    <dataValidation sqref="B2:B1000" showDropDown="0" showInputMessage="0" showErrorMessage="0" allowBlank="1" errorTitle="Not a cost-share program" error="Pick a program from the Cost_Share tab" type="list">
      <formula1>Cost_Share!$A$2:$A$100</formula1>
    </dataValidation>
  </dataValidation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13"/>
  <sheetViews>
    <sheetView zoomScale="110" workbookViewId="0">
      <pane xSplit="1" ySplit="1" topLeftCell="B2" activePane="bottomRight" state="frozen"/>
      <selection pane="topRight"/>
      <selection pane="bottomLeft"/>
      <selection pane="bottomRight" activeCell="A1" sqref="A1"/>
    </sheetView>
  </sheetViews>
  <sheetFormatPr baseColWidth="8" defaultRowHeight="15"/>
  <cols>
    <col width="11.8" customWidth="1" min="1" max="1"/>
    <col width="30" customWidth="1" min="2" max="2"/>
    <col width="36" customWidth="1" min="3" max="3"/>
    <col width="18" customWidth="1" min="4" max="4"/>
    <col width="44" customWidth="1" min="5" max="5"/>
    <col width="90" customWidth="1" min="6" max="6"/>
  </cols>
  <sheetData>
    <row r="1" ht="24" customHeight="1">
      <c r="A1" s="16" t="inlineStr">
        <is>
          <t>Email_ID</t>
        </is>
      </c>
      <c r="B1" s="16" t="inlineStr">
        <is>
          <t>Name</t>
        </is>
      </c>
      <c r="C1" s="16" t="inlineStr">
        <is>
          <t>Sent_When</t>
        </is>
      </c>
      <c r="D1" s="16" t="inlineStr">
        <is>
          <t>How_Sent</t>
        </is>
      </c>
      <c r="E1" s="16" t="inlineStr">
        <is>
          <t>Subject</t>
        </is>
      </c>
      <c r="F1" s="16" t="inlineStr">
        <is>
          <t>Body</t>
        </is>
      </c>
    </row>
    <row r="2">
      <c r="A2" s="17" t="inlineStr">
        <is>
          <t>E01</t>
        </is>
      </c>
      <c r="B2" s="17" t="inlineStr">
        <is>
          <t>Submission confirmation (signed online)</t>
        </is>
      </c>
      <c r="C2" s="15" t="inlineStr">
        <is>
          <t>A producer submits and signs online</t>
        </is>
      </c>
      <c r="D2" s="17" t="inlineStr">
        <is>
          <t>Sends automatically</t>
        </is>
      </c>
      <c r="E2" s="15" t="inlineStr">
        <is>
          <t>{Submission ID}: we have your submission form</t>
        </is>
      </c>
      <c r="F2" s="15" t="inlineStr">
        <is>
          <t>Hi {First name},
Thanks for submitting {Animal count} {Breed} for genotyping. Your reference number is {Submission ID}.
Next steps:
1. Print your packing slip: {Packing slip link}
2. Put your TSUs in a sealed plastic bag with your packing slip. Mail them to {Mailing address}, or drop them off at the {Drop-off location} ({Drop-off hours}).
Your private page shows where your samples are and, later, your results: {Private link}
Please keep this link to yourself, since anyone who has it can see your results.
Thank you,
MSU Sheep Genotyping</t>
        </is>
      </c>
    </row>
    <row r="3">
      <c r="A3" s="17" t="inlineStr">
        <is>
          <t>E02</t>
        </is>
      </c>
      <c r="B3" s="17" t="inlineStr">
        <is>
          <t>Submission confirmation (signing on paper)</t>
        </is>
      </c>
      <c r="C3" s="15" t="inlineStr">
        <is>
          <t>A producer chooses the paper consent form</t>
        </is>
      </c>
      <c r="D3" s="17" t="inlineStr">
        <is>
          <t>Sends automatically</t>
        </is>
      </c>
      <c r="E3" s="15" t="inlineStr">
        <is>
          <t>{Submission ID}: we have your form, one step left</t>
        </is>
      </c>
      <c r="F3" s="15" t="inlineStr">
        <is>
          <t>Hi {First name},
Thanks for submitting {Animal count} {Breed} for genotyping. Your reference number is {Submission ID}.
You chose to sign on paper. Print the consent form ({Paper form link}), answer the research question, sign it and put it in your box with your TSUs. We can't send your samples to the lab until we have it. If you'd rather sign online instead, it takes a minute: {Sign link}
Next steps:
1. Print your packing slip: {Packing slip link}
2. Put your TSUs, the slip and your signed consent form in a sealed plastic bag. Mail them to {Mailing address}, or drop them off at the {Drop-off location} ({Drop-off hours}).
Your private page shows where your samples are and, later, your results: {Private link}
Please keep this link to yourself, since anyone who has it can see your results.
Thank you,
MSU Sheep Genotyping</t>
        </is>
      </c>
    </row>
    <row r="4">
      <c r="A4" s="17" t="inlineStr">
        <is>
          <t>E03</t>
        </is>
      </c>
      <c r="B4" s="17" t="inlineStr">
        <is>
          <t>Signature reminder</t>
        </is>
      </c>
      <c r="C4" s="15" t="inlineStr">
        <is>
          <t>A paper signer's box arrived without the signed form: first after {Reminder days} days, then weekly</t>
        </is>
      </c>
      <c r="D4" s="17" t="inlineStr">
        <is>
          <t>Sends automatically</t>
        </is>
      </c>
      <c r="E4" s="15" t="inlineStr">
        <is>
          <t>{Submission ID}: please sign so your samples can go to the lab</t>
        </is>
      </c>
      <c r="F4" s="15" t="inlineStr">
        <is>
          <t>Hi {First name},
Your {TSUs received} TSUs arrived on {Received date}, but your submission isn't signed yet, so they're waiting here instead of going to the genotyping lab.
Signing online takes a minute: {Sign link}
If you'd rather sign on paper, print the consent form ({Paper form link}), sign it and mail it to us, or email a photo of it to {Contact email}.
Thank you,
MSU Sheep Genotyping</t>
        </is>
      </c>
    </row>
    <row r="5">
      <c r="A5" s="17" t="inlineStr">
        <is>
          <t>E04</t>
        </is>
      </c>
      <c r="B5" s="17" t="inlineStr">
        <is>
          <t>Signature received</t>
        </is>
      </c>
      <c r="C5" s="15" t="inlineStr">
        <is>
          <t>A producer signs online after submitting</t>
        </is>
      </c>
      <c r="D5" s="17" t="inlineStr">
        <is>
          <t>Sends automatically</t>
        </is>
      </c>
      <c r="E5" s="15" t="inlineStr">
        <is>
          <t>{Submission ID}: signed, thank you</t>
        </is>
      </c>
      <c r="F5" s="15" t="inlineStr">
        <is>
          <t>Hi {First name},
Thanks for signing. Here is a copy for your records:
- Submission: {Submission ID}, {Animal count} {Breed}
- Signed by: {Signer name}, {Signed date}
- MSU research use of samples, results and photos: {Research answer}
- You confirmed that you own or manage these animals, the information on your form is correct, and you agree to MSU's terms for this service.
{#if box_arrived}Your samples will go to the lab in the next batch.
{/if}If anything here is wrong, please reply to this email.
Thank you,
MSU Sheep Genotyping</t>
        </is>
      </c>
    </row>
    <row r="6">
      <c r="A6" s="17" t="inlineStr">
        <is>
          <t>E05</t>
        </is>
      </c>
      <c r="B6" s="17" t="inlineStr">
        <is>
          <t>Box received</t>
        </is>
      </c>
      <c r="C6" s="15" t="inlineStr">
        <is>
          <t>Staff finish receiving a box (they check and edit it on the receiving page)</t>
        </is>
      </c>
      <c r="D6" s="17" t="inlineStr">
        <is>
          <t>Staff review, then send</t>
        </is>
      </c>
      <c r="E6" s="15" t="inlineStr">
        <is>
          <t>{Submission ID}: we received your samples{#if subject_note} ({Subject note}){/if}</t>
        </is>
      </c>
      <c r="F6" s="15" t="inlineStr">
        <is>
          <t>Hi {First name},
We received your box for {Submission ID}: {TSUs received} of {TSUs listed} TSUs.
{#if missing}{Missing list} {Were/was} not in the box. If you still have {them/it}, please mail or drop {them/it} off with your reference number {Submission ID}.
{/if}{#if signed}Your samples will go to the genotyping lab in the next batch.
{/if}{#if paper_in}Your signed consent form was in the box, thank you. Your samples will go to the genotyping lab in the next batch.
{/if}{#if unsigned}We can't send your samples to the lab until your consent form is signed. You can sign online in about a minute: {Sign link}. If you'd rather sign on paper, print the consent form ({Paper form link}), sign it and mail it to us, or email a photo of it to {Contact email}.
{/if}Thank you,
{Staff name}
MSU Sheep Genotyping</t>
        </is>
      </c>
    </row>
    <row r="7">
      <c r="A7" s="17" t="inlineStr">
        <is>
          <t>E06</t>
        </is>
      </c>
      <c r="B7" s="17" t="inlineStr">
        <is>
          <t>Invoice</t>
        </is>
      </c>
      <c r="C7" s="15" t="inlineStr">
        <is>
          <t>You send an invoice from the Genotyping menu (PDF attached)</t>
        </is>
      </c>
      <c r="D7" s="17" t="inlineStr">
        <is>
          <t>You review, then send</t>
        </is>
      </c>
      <c r="E7" s="15" t="inlineStr">
        <is>
          <t>Invoice {Invoice ID} for {Submission ID}</t>
        </is>
      </c>
      <c r="F7" s="15" t="inlineStr">
        <is>
          <t>Hi {First name},
Attached is invoice {Invoice ID} for genotyping {Animals billed} animals from submission {Submission ID}. The total due is {Producer due}.
{#if cost_share}The cost-share through {Partner organization}'s {Program name} covers the full test for {Full count} animals and $6 of the test for {Partial count}. It covers {Partner share} of the {Subtotal} total, so the amount due from you is {Producer due}.
{/if}Please make checks payable to {Checks payable to} and mail them to {Mailing address}. Please write {Invoice ID} on your payment.
Please let us know if you have any questions about this invoice.
Thank you,
MSU Sheep Genotyping</t>
        </is>
      </c>
    </row>
    <row r="8">
      <c r="A8" s="17" t="inlineStr">
        <is>
          <t>E07</t>
        </is>
      </c>
      <c r="B8" s="17" t="inlineStr">
        <is>
          <t>Samples at the lab</t>
        </is>
      </c>
      <c r="C8" s="15" t="inlineStr">
        <is>
          <t>A batch is marked shipped</t>
        </is>
      </c>
      <c r="D8" s="17" t="inlineStr">
        <is>
          <t>Sends automatically</t>
        </is>
      </c>
      <c r="E8" s="15" t="inlineStr">
        <is>
          <t>{Submission ID}: your samples are at the lab</t>
        </is>
      </c>
      <c r="F8" s="15" t="inlineStr">
        <is>
          <t>Hi {First name},
Your {Animal count} samples have been shipped to the genotyping lab on {Shipped date}. We'll email you results as soon as they're ready.
You can follow along here: {Private link}
Thank you,
MSU Sheep Genotyping</t>
        </is>
      </c>
    </row>
    <row r="9">
      <c r="A9" s="17" t="inlineStr">
        <is>
          <t>E08</t>
        </is>
      </c>
      <c r="B9" s="17" t="inlineStr">
        <is>
          <t>Results ready</t>
        </is>
      </c>
      <c r="C9" s="15" t="inlineStr">
        <is>
          <t>You release a submission from the Genotyping menu</t>
        </is>
      </c>
      <c r="D9" s="17" t="inlineStr">
        <is>
          <t>You review, then send</t>
        </is>
      </c>
      <c r="E9" s="15" t="inlineStr">
        <is>
          <t>{Submission ID}: your results are ready</t>
        </is>
      </c>
      <c r="F9" s="15" t="inlineStr">
        <is>
          <t>Hi {First name},
Results for {Results complete} of your {Animal count} {Breed} are ready: {Private link}
The results page shows scrapie codons, OPP and parentage for each animal. Results for all other conditions are in the full report (PDF) and the Excel file, which you can download from the same page.
{#if failed}{Failed list} couldn't be tested because the sample didn't pass the lab quality control. Replacements are free: use "Send a replacement TSU" on your results page.
{/if}{#if not_received}{Not received list} still hasn't reached us. You can send it from your results page too.
{/if}Questions about your results? Just reply to this email.
Thank you,
MSU Sheep Genotyping</t>
        </is>
      </c>
    </row>
    <row r="10">
      <c r="A10" s="17" t="inlineStr">
        <is>
          <t>E09</t>
        </is>
      </c>
      <c r="B10" s="17" t="inlineStr">
        <is>
          <t>Replacement TSUs registered</t>
        </is>
      </c>
      <c r="C10" s="15" t="inlineStr">
        <is>
          <t>A producer registers replacement TSUs from their results page</t>
        </is>
      </c>
      <c r="D10" s="17" t="inlineStr">
        <is>
          <t>Sends automatically</t>
        </is>
      </c>
      <c r="E10" s="15" t="inlineStr">
        <is>
          <t>{Replacement ID}: replacement TSUs registered</t>
        </is>
      </c>
      <c r="F10" s="15" t="inlineStr">
        <is>
          <t>Hi {First name},
We've recorded your replacement TSUs for {Submission ID}. Your reference number is {Replacement ID}.
{Replacement list}
Print your replacement slip and put it in the bag: {Slip link}
Mail them to {Mailing address}, or drop them off at the {Drop-off location} ({Drop-off hours}). Replacements for samples that failed the lab check are free.
Thank you,
MSU Sheep Genotyping</t>
        </is>
      </c>
    </row>
    <row r="11">
      <c r="A11" s="17" t="inlineStr">
        <is>
          <t>E10</t>
        </is>
      </c>
      <c r="B11" s="17" t="inlineStr">
        <is>
          <t>Replacement TSUs received</t>
        </is>
      </c>
      <c r="C11" s="15" t="inlineStr">
        <is>
          <t>Staff receive replacement TSUs (they check and edit it on the receiving page)</t>
        </is>
      </c>
      <c r="D11" s="17" t="inlineStr">
        <is>
          <t>Staff review, then send</t>
        </is>
      </c>
      <c r="E11" s="15" t="inlineStr">
        <is>
          <t>{Replacement ID}: we received your replacement TSUs</t>
        </is>
      </c>
      <c r="F11" s="15" t="inlineStr">
        <is>
          <t>Hi {First name},
We received your replacement TSUs for {Submission ID}: {Replacements received} of {Replacements listed}. They'll go to the lab in the next batch, and the results will appear on your same results page: {Private link}
{#if missing}{Missing list} wasn't in the bag. If you still have it, please mail or drop it off with your reference number {Replacement ID}.
{/if}Thank you,
{Staff name}
MSU Sheep Genotyping</t>
        </is>
      </c>
    </row>
    <row r="12">
      <c r="A12" s="17" t="inlineStr">
        <is>
          <t>E11</t>
        </is>
      </c>
      <c r="B12" s="17" t="inlineStr">
        <is>
          <t>Cost-share bill to the partner</t>
        </is>
      </c>
      <c r="C12" s="15" t="inlineStr">
        <is>
          <t>You send a partner bill from the Genotyping menu (PDF attached)</t>
        </is>
      </c>
      <c r="D12" s="17" t="inlineStr">
        <is>
          <t>You review, then send</t>
        </is>
      </c>
      <c r="E12" s="15" t="inlineStr">
        <is>
          <t>MSU Sheep Genotyping cost-share bill {Partner invoice ID}</t>
        </is>
      </c>
      <c r="F12" s="15" t="inlineStr">
        <is>
          <t>Dear {Partner contact},
Attached is bill {Partner invoice ID} for the {Program name} cost-share, covering {Period start} to {Period end}.
It covers {Producer invoices} producer invoices: {Full animals} animals covered in full ($18 each) and {Partial animals} animals partly covered ($6 each), for a total of {Amount due}. The attached list shows each producer invoice and your share of it.
Please make checks payable to {Checks payable to} and mail them to {Mailing address}, writing {Partner invoice ID} on your payment.
Christian Posbergh
MSU Sheep Genotyping · {Contact phone}</t>
        </is>
      </c>
    </row>
    <row r="13">
      <c r="A13" s="17" t="inlineStr">
        <is>
          <t>E12</t>
        </is>
      </c>
      <c r="B13" s="17" t="inlineStr">
        <is>
          <t>Private link reminder</t>
        </is>
      </c>
      <c r="C13" s="15" t="inlineStr">
        <is>
          <t>You resend a producer their private link from the Genotyping menu (new: not in the drafts doc)</t>
        </is>
      </c>
      <c r="D13" s="17" t="inlineStr">
        <is>
          <t>You review, then send</t>
        </is>
      </c>
      <c r="E13" s="15" t="inlineStr">
        <is>
          <t>{Submission ID}: your private results link</t>
        </is>
      </c>
      <c r="F13" s="15" t="inlineStr">
        <is>
          <t>Hi {First name},
Here is your private page for {Submission ID}. It shows where your samples are and, when they're ready, your results: {Private link}
Please keep this link to yourself, since anyone who has it can see your results.
Thank you,
MSU Sheep Genotyping</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
  <sheetViews>
    <sheetView zoomScale="110"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1.8" customWidth="1" min="2" max="2"/>
    <col width="30" customWidth="1" min="3" max="3"/>
    <col width="50" customWidth="1" min="4" max="4"/>
    <col width="17.3" customWidth="1" min="5" max="5"/>
    <col width="16" customWidth="1" min="6" max="6"/>
    <col width="20" customWidth="1" min="7" max="7"/>
  </cols>
  <sheetData>
    <row r="1" ht="24" customHeight="1">
      <c r="A1" s="18" t="inlineStr">
        <is>
          <t>Sent_At</t>
        </is>
      </c>
      <c r="B1" s="18" t="inlineStr">
        <is>
          <t>Email_ID</t>
        </is>
      </c>
      <c r="C1" s="18" t="inlineStr">
        <is>
          <t>To</t>
        </is>
      </c>
      <c r="D1" s="18" t="inlineStr">
        <is>
          <t>Subject</t>
        </is>
      </c>
      <c r="E1" s="18" t="inlineStr">
        <is>
          <t>Submission_ID</t>
        </is>
      </c>
      <c r="F1" s="18" t="inlineStr">
        <is>
          <t>Sent_By</t>
        </is>
      </c>
      <c r="G1" s="18" t="inlineStr">
        <is>
          <t>Result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2026-09-29T23:19:02Z</dcterms:created>
  <dcterms:modified xmlns:dcterms="http://purl.org/dc/terms/" xmlns:xsi="http://www.w3.org/2001/XMLSchema-instance" xsi:type="dcterms:W3CDTF">2026-09-29T23:19:02Z</dcterms:modified>
</cp:coreProperties>
</file>